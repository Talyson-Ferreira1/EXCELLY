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Ex4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Ex5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Ex6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Ex7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Ex8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Ex9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Ex10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charts/chart1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Ex1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Ex12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1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alyson\Desktop\"/>
    </mc:Choice>
  </mc:AlternateContent>
  <xr:revisionPtr revIDLastSave="0" documentId="13_ncr:1_{C077B7C2-AF2C-4FB8-B934-69BB5E5FD710}" xr6:coauthVersionLast="47" xr6:coauthVersionMax="47" xr10:uidLastSave="{00000000-0000-0000-0000-000000000000}"/>
  <bookViews>
    <workbookView minimized="1" xWindow="7365" yWindow="1590" windowWidth="9660" windowHeight="8220" tabRatio="784" activeTab="11" xr2:uid="{00000000-000D-0000-FFFF-FFFF00000000}"/>
  </bookViews>
  <sheets>
    <sheet name="janeiro" sheetId="33" r:id="rId1"/>
    <sheet name="fevereiro" sheetId="32" r:id="rId2"/>
    <sheet name="março" sheetId="31" r:id="rId3"/>
    <sheet name="abril" sheetId="30" r:id="rId4"/>
    <sheet name="maio" sheetId="29" r:id="rId5"/>
    <sheet name="junho" sheetId="26" r:id="rId6"/>
    <sheet name="julho" sheetId="21" r:id="rId7"/>
    <sheet name="agosto" sheetId="25" r:id="rId8"/>
    <sheet name="setembro" sheetId="27" r:id="rId9"/>
    <sheet name="outubro" sheetId="28" r:id="rId10"/>
    <sheet name="novembro" sheetId="24" r:id="rId11"/>
    <sheet name="dezembro" sheetId="23" r:id="rId12"/>
  </sheets>
  <definedNames>
    <definedName name="_xlchart.v1.0" hidden="1">janeiro!$B$3,janeiro!$D$3</definedName>
    <definedName name="_xlchart.v1.1" hidden="1">fevereiro!$B$3,fevereiro!$D$3</definedName>
    <definedName name="_xlchart.v1.10" hidden="1">novembro!$B$3,novembro!$D$3</definedName>
    <definedName name="_xlchart.v1.11" hidden="1">dezembro!$B$3,dezembro!$D$3</definedName>
    <definedName name="_xlchart.v1.2" hidden="1">março!$B$3,março!$D$3</definedName>
    <definedName name="_xlchart.v1.3" hidden="1">abril!$B$3,abril!$D$3</definedName>
    <definedName name="_xlchart.v1.4" hidden="1">maio!$B$3,maio!$D$3</definedName>
    <definedName name="_xlchart.v1.5" hidden="1">junho!$B$3,junho!$D$3</definedName>
    <definedName name="_xlchart.v1.6" hidden="1">(julho!$B$3,julho!$D$3)</definedName>
    <definedName name="_xlchart.v1.7" hidden="1">agosto!$B$3,agosto!$D$3</definedName>
    <definedName name="_xlchart.v1.8" hidden="1">setembro!$B$3,setembro!$D$3</definedName>
    <definedName name="_xlchart.v1.9" hidden="1">outubro!$B$3,outubro!$D$3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33" l="1"/>
  <c r="D3" i="33"/>
  <c r="B3" i="33"/>
  <c r="C2" i="33"/>
  <c r="C14" i="32"/>
  <c r="D3" i="32"/>
  <c r="B3" i="32"/>
  <c r="C2" i="32"/>
  <c r="C14" i="31"/>
  <c r="D3" i="31"/>
  <c r="B3" i="31"/>
  <c r="C2" i="31"/>
  <c r="C14" i="30"/>
  <c r="D3" i="30"/>
  <c r="B3" i="30"/>
  <c r="C2" i="30"/>
  <c r="C14" i="29"/>
  <c r="D3" i="29"/>
  <c r="B3" i="29"/>
  <c r="C2" i="29"/>
  <c r="C14" i="28"/>
  <c r="D3" i="28"/>
  <c r="B3" i="28"/>
  <c r="C2" i="28"/>
  <c r="C14" i="27"/>
  <c r="D3" i="27"/>
  <c r="B3" i="27"/>
  <c r="C2" i="27"/>
  <c r="C14" i="26"/>
  <c r="D3" i="26"/>
  <c r="B3" i="26"/>
  <c r="C2" i="26"/>
  <c r="C14" i="25"/>
  <c r="D3" i="25"/>
  <c r="B3" i="25"/>
  <c r="C2" i="25"/>
  <c r="C14" i="24"/>
  <c r="D3" i="24"/>
  <c r="B3" i="24"/>
  <c r="C2" i="24"/>
  <c r="C14" i="23"/>
  <c r="D3" i="23"/>
  <c r="B3" i="23"/>
  <c r="C2" i="23"/>
  <c r="C14" i="21"/>
  <c r="C2" i="21"/>
  <c r="D3" i="21"/>
  <c r="B3" i="21"/>
</calcChain>
</file>

<file path=xl/sharedStrings.xml><?xml version="1.0" encoding="utf-8"?>
<sst xmlns="http://schemas.openxmlformats.org/spreadsheetml/2006/main" count="324" uniqueCount="13">
  <si>
    <t>conta</t>
  </si>
  <si>
    <t>valor</t>
  </si>
  <si>
    <t>status</t>
  </si>
  <si>
    <t>luz</t>
  </si>
  <si>
    <t>internet</t>
  </si>
  <si>
    <t>telefone</t>
  </si>
  <si>
    <t>cartão de credito</t>
  </si>
  <si>
    <t>aluguel</t>
  </si>
  <si>
    <t>-</t>
  </si>
  <si>
    <t>pago</t>
  </si>
  <si>
    <t>A pagar</t>
  </si>
  <si>
    <t>Salário:</t>
  </si>
  <si>
    <t>Despesas: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</si>
</sst>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14" x14ac:knownFonts="1">
    <font>
      <sz val="11"/>
      <color theme="1" tint="0.499984740745262"/>
      <name val="Calibri"/>
      <family val="2"/>
      <scheme val="minor"/>
    </font>
    <font>
      <b/>
      <sz val="11"/>
      <color theme="3"/>
      <name val="Calibri"/>
      <family val="2"/>
      <scheme val="major"/>
    </font>
    <font>
      <i/>
      <sz val="15"/>
      <color theme="4"/>
      <name val="Calibri"/>
      <family val="2"/>
      <scheme val="minor"/>
    </font>
    <font>
      <b/>
      <sz val="28"/>
      <color theme="4"/>
      <name val="Calibri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" fillId="0" borderId="0" applyNumberFormat="0" applyFill="0" applyAlignment="0" applyProtection="0"/>
    <xf numFmtId="0" fontId="2" fillId="0" borderId="0" applyNumberFormat="0" applyFill="0" applyAlignment="0" applyProtection="0"/>
    <xf numFmtId="0" fontId="4" fillId="0" borderId="0" applyNumberFormat="0" applyFill="0" applyAlignment="0" applyProtection="0"/>
    <xf numFmtId="44" fontId="5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4" fontId="0" fillId="2" borderId="1" xfId="5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44" fontId="9" fillId="3" borderId="0" xfId="5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44" fontId="11" fillId="4" borderId="0" xfId="5" applyFont="1" applyFill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4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44" fontId="6" fillId="3" borderId="0" xfId="5" applyFont="1" applyFill="1" applyAlignment="1">
      <alignment horizontal="center" vertical="center"/>
    </xf>
    <xf numFmtId="44" fontId="6" fillId="4" borderId="0" xfId="5" applyFont="1" applyFill="1" applyAlignment="1">
      <alignment horizontal="center" vertical="center"/>
    </xf>
  </cellXfs>
  <cellStyles count="6">
    <cellStyle name="Moeda" xfId="5" builtinId="4"/>
    <cellStyle name="Normal" xfId="0" builtinId="0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</cellStyles>
  <dxfs count="5">
    <dxf>
      <font>
        <color theme="3"/>
      </font>
    </dxf>
    <dxf>
      <font>
        <b/>
        <i val="0"/>
        <color theme="3"/>
      </font>
    </dxf>
    <dxf>
      <font>
        <b/>
        <i val="0"/>
        <color theme="3"/>
      </font>
      <fill>
        <patternFill patternType="none">
          <bgColor auto="1"/>
        </patternFill>
      </fill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color theme="3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color theme="1" tint="0.499984740745262"/>
      </font>
      <border diagonalUp="0" diagonalDown="0">
        <left/>
        <right/>
        <top/>
        <bottom/>
        <vertical/>
        <horizontal style="thin">
          <color theme="0" tint="-0.34998626667073579"/>
        </horizontal>
      </border>
    </dxf>
  </dxfs>
  <tableStyles count="1" defaultTableStyle="Lista Calculada" defaultPivotStyle="PivotStyleLight16">
    <tableStyle name="Lista Calculada" pivot="0" count="5" xr9:uid="{00000000-0011-0000-FFFF-FFFF00000000}">
      <tableStyleElement type="wholeTable" dxfId="4"/>
      <tableStyleElement type="headerRow" dxfId="3"/>
      <tableStyleElement type="totalRow" dxfId="2"/>
      <tableStyleElement type="firstColumn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74300087489064E-2"/>
          <c:y val="5.0925925925925923E-2"/>
          <c:w val="0.8419444444444445"/>
          <c:h val="0.6675182268883056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 R$ 1,00 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janeiro!$C$13:$D$13</c15:sqref>
                  </c15:fullRef>
                </c:ext>
              </c:extLst>
              <c:f>janeiro!$C$13</c:f>
              <c:numCache>
                <c:formatCode>_("R$"* #,##0.00_);_("R$"* \(#,##0.00\);_("R$"* "-"??_);_(@_)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D-429C-B74C-41C13BD50958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janeiro!$C$14:$D$14</c15:sqref>
                  </c15:fullRef>
                </c:ext>
              </c:extLst>
              <c:f>janeiro!$C$14</c:f>
              <c:numCache>
                <c:formatCode>_("R$"* #,##0.00_);_("R$"* \(#,##0.00\);_("R$"* "-"??_);_(@_)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D-429C-B74C-41C13BD50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9466144"/>
        <c:axId val="729467808"/>
        <c:axId val="0"/>
      </c:bar3DChart>
      <c:catAx>
        <c:axId val="729466144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729467808"/>
        <c:crosses val="autoZero"/>
        <c:auto val="1"/>
        <c:lblAlgn val="ctr"/>
        <c:lblOffset val="100"/>
        <c:noMultiLvlLbl val="0"/>
      </c:catAx>
      <c:valAx>
        <c:axId val="72946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4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74300087489064E-2"/>
          <c:y val="5.0925925925925923E-2"/>
          <c:w val="0.8419444444444445"/>
          <c:h val="0.6675182268883056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fevereiro!$C$13:$D$13</c15:sqref>
                  </c15:fullRef>
                </c:ext>
              </c:extLst>
              <c:f>fevereiro!$C$13</c:f>
              <c:numCache>
                <c:formatCode>_("R$"* #,##0.00_);_("R$"* \(#,##0.00\);_("R$"* "-"??_);_(@_)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6A-4B7E-8280-AE30C0A2195C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fevereiro!$C$14:$D$14</c15:sqref>
                  </c15:fullRef>
                </c:ext>
              </c:extLst>
              <c:f>fevereiro!$C$14</c:f>
              <c:numCache>
                <c:formatCode>_("R$"* #,##0.00_);_("R$"* \(#,##0.00\);_("R$"* "-"??_);_(@_)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6A-4B7E-8280-AE30C0A21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9466144"/>
        <c:axId val="729467808"/>
        <c:axId val="0"/>
      </c:bar3DChart>
      <c:catAx>
        <c:axId val="729466144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729467808"/>
        <c:crosses val="autoZero"/>
        <c:auto val="1"/>
        <c:lblAlgn val="ctr"/>
        <c:lblOffset val="100"/>
        <c:noMultiLvlLbl val="0"/>
      </c:catAx>
      <c:valAx>
        <c:axId val="72946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4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74300087489064E-2"/>
          <c:y val="5.0925925925925923E-2"/>
          <c:w val="0.8419444444444445"/>
          <c:h val="0.6675182268883056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março!$C$13:$D$13</c15:sqref>
                  </c15:fullRef>
                </c:ext>
              </c:extLst>
              <c:f>março!$C$13</c:f>
              <c:numCache>
                <c:formatCode>_("R$"* #,##0.00_);_("R$"* \(#,##0.00\);_("R$"* "-"??_);_(@_)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79-4865-A399-45D5F1B865F7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março!$C$14:$D$14</c15:sqref>
                  </c15:fullRef>
                </c:ext>
              </c:extLst>
              <c:f>março!$C$14</c:f>
              <c:numCache>
                <c:formatCode>_("R$"* #,##0.00_);_("R$"* \(#,##0.00\);_("R$"* "-"??_);_(@_)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9-4865-A399-45D5F1B86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9466144"/>
        <c:axId val="729467808"/>
        <c:axId val="0"/>
      </c:bar3DChart>
      <c:catAx>
        <c:axId val="729466144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729467808"/>
        <c:crosses val="autoZero"/>
        <c:auto val="1"/>
        <c:lblAlgn val="ctr"/>
        <c:lblOffset val="100"/>
        <c:noMultiLvlLbl val="0"/>
      </c:catAx>
      <c:valAx>
        <c:axId val="72946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4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74300087489064E-2"/>
          <c:y val="5.0925925925925923E-2"/>
          <c:w val="0.8419444444444445"/>
          <c:h val="0.6675182268883056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abril!$C$13:$D$13</c15:sqref>
                  </c15:fullRef>
                </c:ext>
              </c:extLst>
              <c:f>abril!$C$13</c:f>
              <c:numCache>
                <c:formatCode>_("R$"* #,##0.00_);_("R$"* \(#,##0.00\);_("R$"* "-"??_);_(@_)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6-4C7C-BF90-42C4A9012815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abril!$C$14:$D$14</c15:sqref>
                  </c15:fullRef>
                </c:ext>
              </c:extLst>
              <c:f>abril!$C$14</c:f>
              <c:numCache>
                <c:formatCode>_("R$"* #,##0.00_);_("R$"* \(#,##0.00\);_("R$"* "-"??_);_(@_)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6-4C7C-BF90-42C4A9012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9466144"/>
        <c:axId val="729467808"/>
        <c:axId val="0"/>
      </c:bar3DChart>
      <c:catAx>
        <c:axId val="729466144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729467808"/>
        <c:crosses val="autoZero"/>
        <c:auto val="1"/>
        <c:lblAlgn val="ctr"/>
        <c:lblOffset val="100"/>
        <c:noMultiLvlLbl val="0"/>
      </c:catAx>
      <c:valAx>
        <c:axId val="72946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4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74300087489064E-2"/>
          <c:y val="5.0925925925925923E-2"/>
          <c:w val="0.8419444444444445"/>
          <c:h val="0.6675182268883056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maio!$C$13:$D$13</c15:sqref>
                  </c15:fullRef>
                </c:ext>
              </c:extLst>
              <c:f>maio!$C$13</c:f>
              <c:numCache>
                <c:formatCode>_("R$"* #,##0.00_);_("R$"* \(#,##0.00\);_("R$"* "-"??_);_(@_)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84-4ECE-A649-42AB8AF7447F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maio!$C$14:$D$14</c15:sqref>
                  </c15:fullRef>
                </c:ext>
              </c:extLst>
              <c:f>maio!$C$14</c:f>
              <c:numCache>
                <c:formatCode>_("R$"* #,##0.00_);_("R$"* \(#,##0.00\);_("R$"* "-"??_);_(@_)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84-4ECE-A649-42AB8AF74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9466144"/>
        <c:axId val="729467808"/>
        <c:axId val="0"/>
      </c:bar3DChart>
      <c:catAx>
        <c:axId val="729466144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729467808"/>
        <c:crosses val="autoZero"/>
        <c:auto val="1"/>
        <c:lblAlgn val="ctr"/>
        <c:lblOffset val="100"/>
        <c:noMultiLvlLbl val="0"/>
      </c:catAx>
      <c:valAx>
        <c:axId val="72946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4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74300087489064E-2"/>
          <c:y val="5.0925925925925923E-2"/>
          <c:w val="0.8419444444444445"/>
          <c:h val="0.6675182268883056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junho!$C$13:$D$13</c15:sqref>
                  </c15:fullRef>
                </c:ext>
              </c:extLst>
              <c:f>junho!$C$13</c:f>
              <c:numCache>
                <c:formatCode>_("R$"* #,##0.00_);_("R$"* \(#,##0.00\);_("R$"* "-"??_);_(@_)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2-4EC9-BDCE-C4E2365ECC01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junho!$C$14:$D$14</c15:sqref>
                  </c15:fullRef>
                </c:ext>
              </c:extLst>
              <c:f>junho!$C$14</c:f>
              <c:numCache>
                <c:formatCode>_("R$"* #,##0.00_);_("R$"* \(#,##0.00\);_("R$"* "-"??_);_(@_)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62-4EC9-BDCE-C4E2365EC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9466144"/>
        <c:axId val="729467808"/>
        <c:axId val="0"/>
      </c:bar3DChart>
      <c:catAx>
        <c:axId val="729466144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729467808"/>
        <c:crosses val="autoZero"/>
        <c:auto val="1"/>
        <c:lblAlgn val="ctr"/>
        <c:lblOffset val="100"/>
        <c:noMultiLvlLbl val="0"/>
      </c:catAx>
      <c:valAx>
        <c:axId val="72946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4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74300087489064E-2"/>
          <c:y val="5.0925925925925923E-2"/>
          <c:w val="0.8419444444444445"/>
          <c:h val="0.6675182268883056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julho!$C$13:$D$13</c15:sqref>
                  </c15:fullRef>
                </c:ext>
              </c:extLst>
              <c:f>julho!$C$13</c:f>
              <c:numCache>
                <c:formatCode>_("R$"* #,##0.00_);_("R$"* \(#,##0.00\);_("R$"* "-"??_);_(@_)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DE-4362-BEC1-CF6A9FF2C05E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julho!$C$14:$D$14</c15:sqref>
                  </c15:fullRef>
                </c:ext>
              </c:extLst>
              <c:f>julho!$C$14</c:f>
              <c:numCache>
                <c:formatCode>_("R$"* #,##0.00_);_("R$"* \(#,##0.00\);_("R$"* "-"??_);_(@_)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DE-4362-BEC1-CF6A9FF2C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9466144"/>
        <c:axId val="729467808"/>
        <c:axId val="0"/>
      </c:bar3DChart>
      <c:catAx>
        <c:axId val="729466144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729467808"/>
        <c:crosses val="autoZero"/>
        <c:auto val="1"/>
        <c:lblAlgn val="ctr"/>
        <c:lblOffset val="100"/>
        <c:noMultiLvlLbl val="0"/>
      </c:catAx>
      <c:valAx>
        <c:axId val="72946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4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74300087489064E-2"/>
          <c:y val="5.0925925925925923E-2"/>
          <c:w val="0.8419444444444445"/>
          <c:h val="0.6675182268883056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agosto!$C$13:$D$13</c15:sqref>
                  </c15:fullRef>
                </c:ext>
              </c:extLst>
              <c:f>agosto!$C$13</c:f>
              <c:numCache>
                <c:formatCode>_("R$"* #,##0.00_);_("R$"* \(#,##0.00\);_("R$"* "-"??_);_(@_)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D4-4AF1-880F-D573E782F491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agosto!$C$14:$D$14</c15:sqref>
                  </c15:fullRef>
                </c:ext>
              </c:extLst>
              <c:f>agosto!$C$14</c:f>
              <c:numCache>
                <c:formatCode>_("R$"* #,##0.00_);_("R$"* \(#,##0.00\);_("R$"* "-"??_);_(@_)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D4-4AF1-880F-D573E782F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9466144"/>
        <c:axId val="729467808"/>
        <c:axId val="0"/>
      </c:bar3DChart>
      <c:catAx>
        <c:axId val="729466144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729467808"/>
        <c:crosses val="autoZero"/>
        <c:auto val="1"/>
        <c:lblAlgn val="ctr"/>
        <c:lblOffset val="100"/>
        <c:noMultiLvlLbl val="0"/>
      </c:catAx>
      <c:valAx>
        <c:axId val="72946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4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74300087489064E-2"/>
          <c:y val="5.0925925925925923E-2"/>
          <c:w val="0.8419444444444445"/>
          <c:h val="0.6675182268883056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setembro!$C$13:$D$13</c15:sqref>
                  </c15:fullRef>
                </c:ext>
              </c:extLst>
              <c:f>setembro!$C$13</c:f>
              <c:numCache>
                <c:formatCode>_("R$"* #,##0.00_);_("R$"* \(#,##0.00\);_("R$"* "-"??_);_(@_)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B3-4A44-BCF2-D7C33CC33943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setembro!$C$14:$D$14</c15:sqref>
                  </c15:fullRef>
                </c:ext>
              </c:extLst>
              <c:f>setembro!$C$14</c:f>
              <c:numCache>
                <c:formatCode>_("R$"* #,##0.00_);_("R$"* \(#,##0.00\);_("R$"* "-"??_);_(@_)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B3-4A44-BCF2-D7C33CC33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9466144"/>
        <c:axId val="729467808"/>
        <c:axId val="0"/>
      </c:bar3DChart>
      <c:catAx>
        <c:axId val="729466144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729467808"/>
        <c:crosses val="autoZero"/>
        <c:auto val="1"/>
        <c:lblAlgn val="ctr"/>
        <c:lblOffset val="100"/>
        <c:noMultiLvlLbl val="0"/>
      </c:catAx>
      <c:valAx>
        <c:axId val="72946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4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74300087489064E-2"/>
          <c:y val="5.0925925925925923E-2"/>
          <c:w val="0.8419444444444445"/>
          <c:h val="0.6675182268883056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outubro!$C$13:$D$13</c15:sqref>
                  </c15:fullRef>
                </c:ext>
              </c:extLst>
              <c:f>outubro!$C$13</c:f>
              <c:numCache>
                <c:formatCode>_("R$"* #,##0.00_);_("R$"* \(#,##0.00\);_("R$"* "-"??_);_(@_)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3C-44F9-90DD-4F866C7CEE19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outubro!$C$14:$D$14</c15:sqref>
                  </c15:fullRef>
                </c:ext>
              </c:extLst>
              <c:f>outubro!$C$14</c:f>
              <c:numCache>
                <c:formatCode>_("R$"* #,##0.00_);_("R$"* \(#,##0.00\);_("R$"* "-"??_);_(@_)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3C-44F9-90DD-4F866C7CE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9466144"/>
        <c:axId val="729467808"/>
        <c:axId val="0"/>
      </c:bar3DChart>
      <c:catAx>
        <c:axId val="729466144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729467808"/>
        <c:crosses val="autoZero"/>
        <c:auto val="1"/>
        <c:lblAlgn val="ctr"/>
        <c:lblOffset val="100"/>
        <c:noMultiLvlLbl val="0"/>
      </c:catAx>
      <c:valAx>
        <c:axId val="72946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4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74300087489064E-2"/>
          <c:y val="5.0925925925925923E-2"/>
          <c:w val="0.8419444444444445"/>
          <c:h val="0.6675182268883056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novembro!$C$13:$D$13</c15:sqref>
                  </c15:fullRef>
                </c:ext>
              </c:extLst>
              <c:f>novembro!$C$13</c:f>
              <c:numCache>
                <c:formatCode>_("R$"* #,##0.00_);_("R$"* \(#,##0.00\);_("R$"* "-"??_);_(@_)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EC-459B-A622-8D95AF6D4B82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novembro!$C$14:$D$14</c15:sqref>
                  </c15:fullRef>
                </c:ext>
              </c:extLst>
              <c:f>novembro!$C$14</c:f>
              <c:numCache>
                <c:formatCode>_("R$"* #,##0.00_);_("R$"* \(#,##0.00\);_("R$"* "-"??_);_(@_)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C-459B-A622-8D95AF6D4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9466144"/>
        <c:axId val="729467808"/>
        <c:axId val="0"/>
      </c:bar3DChart>
      <c:catAx>
        <c:axId val="729466144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729467808"/>
        <c:crosses val="autoZero"/>
        <c:auto val="1"/>
        <c:lblAlgn val="ctr"/>
        <c:lblOffset val="100"/>
        <c:noMultiLvlLbl val="0"/>
      </c:catAx>
      <c:valAx>
        <c:axId val="72946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4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74300087489064E-2"/>
          <c:y val="5.0925925925925923E-2"/>
          <c:w val="0.8419444444444445"/>
          <c:h val="0.6675182268883056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dezembro!$C$13:$D$13</c15:sqref>
                  </c15:fullRef>
                </c:ext>
              </c:extLst>
              <c:f>dezembro!$C$13</c:f>
              <c:numCache>
                <c:formatCode>_("R$"* #,##0.00_);_("R$"* \(#,##0.00\);_("R$"* "-"??_);_(@_)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39-495C-B902-C3F9F0B5F1C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dezembro!$C$14:$D$14</c15:sqref>
                  </c15:fullRef>
                </c:ext>
              </c:extLst>
              <c:f>dezembro!$C$14</c:f>
              <c:numCache>
                <c:formatCode>_("R$"* #,##0.00_);_("R$"* \(#,##0.00\);_("R$"* "-"??_);_(@_)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39-495C-B902-C3F9F0B5F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9466144"/>
        <c:axId val="729467808"/>
        <c:axId val="0"/>
      </c:bar3DChart>
      <c:catAx>
        <c:axId val="729466144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729467808"/>
        <c:crosses val="autoZero"/>
        <c:auto val="1"/>
        <c:lblAlgn val="ctr"/>
        <c:lblOffset val="100"/>
        <c:noMultiLvlLbl val="0"/>
      </c:catAx>
      <c:valAx>
        <c:axId val="72946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4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_xlchart.v1.0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4E42C8B9-D95B-4619-A69E-80F386C41646}">
          <cx:spPr>
            <a:solidFill>
              <a:srgbClr val="FF0000"/>
            </a:solidFill>
          </cx:spPr>
          <cx:dataPt idx="0">
            <cx:spPr>
              <a:solidFill>
                <a:srgbClr val="92D050"/>
              </a:solidFill>
            </cx:spPr>
          </cx:dataPt>
          <cx:dataId val="0"/>
        </cx:series>
      </cx:plotAreaRegion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_xlchart.v1.1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4E42C8B9-D95B-4619-A69E-80F386C41646}">
          <cx:spPr>
            <a:solidFill>
              <a:srgbClr val="FF0000"/>
            </a:solidFill>
          </cx:spPr>
          <cx:dataPt idx="0">
            <cx:spPr>
              <a:solidFill>
                <a:srgbClr val="92D050"/>
              </a:solidFill>
            </cx:spPr>
          </cx:dataPt>
          <cx:dataId val="0"/>
        </cx:series>
      </cx:plotAreaRegion>
    </cx:plotArea>
  </cx:chart>
  <cx:spPr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_xlchart.v1.2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4E42C8B9-D95B-4619-A69E-80F386C41646}">
          <cx:spPr>
            <a:solidFill>
              <a:srgbClr val="FF0000"/>
            </a:solidFill>
          </cx:spPr>
          <cx:dataPt idx="0">
            <cx:spPr>
              <a:solidFill>
                <a:srgbClr val="92D050"/>
              </a:solidFill>
            </cx:spPr>
          </cx:dataPt>
          <cx:dataId val="0"/>
        </cx:series>
      </cx:plotAreaRegion>
    </cx:plotArea>
  </cx:chart>
  <cx:spPr>
    <a:ln>
      <a:noFill/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_xlchart.v1.3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4E42C8B9-D95B-4619-A69E-80F386C41646}">
          <cx:spPr>
            <a:solidFill>
              <a:srgbClr val="FF0000"/>
            </a:solidFill>
          </cx:spPr>
          <cx:dataPt idx="0">
            <cx:spPr>
              <a:solidFill>
                <a:srgbClr val="92D050"/>
              </a:solidFill>
            </cx:spPr>
          </cx:dataPt>
          <cx:dataId val="0"/>
        </cx:series>
      </cx:plotAreaRegion>
    </cx:plotArea>
  </cx:chart>
  <cx:spPr>
    <a:ln>
      <a:noFill/>
    </a:ln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_xlchart.v1.4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4E42C8B9-D95B-4619-A69E-80F386C41646}">
          <cx:spPr>
            <a:solidFill>
              <a:srgbClr val="FF0000"/>
            </a:solidFill>
          </cx:spPr>
          <cx:dataPt idx="0">
            <cx:spPr>
              <a:solidFill>
                <a:srgbClr val="92D050"/>
              </a:solidFill>
            </cx:spPr>
          </cx:dataPt>
          <cx:dataId val="0"/>
        </cx:series>
      </cx:plotAreaRegion>
    </cx:plotArea>
  </cx:chart>
  <cx:spPr>
    <a:ln>
      <a:noFill/>
    </a:ln>
  </cx:spPr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_xlchart.v1.5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4E42C8B9-D95B-4619-A69E-80F386C41646}">
          <cx:spPr>
            <a:solidFill>
              <a:srgbClr val="FF0000"/>
            </a:solidFill>
          </cx:spPr>
          <cx:dataPt idx="0">
            <cx:spPr>
              <a:solidFill>
                <a:srgbClr val="92D050"/>
              </a:solidFill>
            </cx:spPr>
          </cx:dataPt>
          <cx:dataId val="0"/>
        </cx:series>
      </cx:plotAreaRegion>
    </cx:plotArea>
  </cx:chart>
  <cx:spPr>
    <a:ln>
      <a:noFill/>
    </a:ln>
  </cx:spPr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_xlchart.v1.6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4E42C8B9-D95B-4619-A69E-80F386C41646}">
          <cx:spPr>
            <a:solidFill>
              <a:srgbClr val="FF0000"/>
            </a:solidFill>
          </cx:spPr>
          <cx:dataPt idx="0">
            <cx:spPr>
              <a:solidFill>
                <a:srgbClr val="92D050"/>
              </a:solidFill>
            </cx:spPr>
          </cx:dataPt>
          <cx:dataId val="0"/>
        </cx:series>
      </cx:plotAreaRegion>
    </cx:plotArea>
  </cx:chart>
  <cx:spPr>
    <a:ln>
      <a:noFill/>
    </a:ln>
  </cx:spPr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_xlchart.v1.7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4E42C8B9-D95B-4619-A69E-80F386C41646}">
          <cx:spPr>
            <a:solidFill>
              <a:srgbClr val="FF0000"/>
            </a:solidFill>
          </cx:spPr>
          <cx:dataPt idx="0">
            <cx:spPr>
              <a:solidFill>
                <a:srgbClr val="92D050"/>
              </a:solidFill>
            </cx:spPr>
          </cx:dataPt>
          <cx:dataId val="0"/>
        </cx:series>
      </cx:plotAreaRegion>
    </cx:plotArea>
  </cx:chart>
  <cx:spPr>
    <a:ln>
      <a:noFill/>
    </a:ln>
  </cx:spPr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_xlchart.v1.8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4E42C8B9-D95B-4619-A69E-80F386C41646}">
          <cx:spPr>
            <a:solidFill>
              <a:srgbClr val="FF0000"/>
            </a:solidFill>
          </cx:spPr>
          <cx:dataPt idx="0">
            <cx:spPr>
              <a:solidFill>
                <a:srgbClr val="92D050"/>
              </a:solidFill>
            </cx:spPr>
          </cx:dataPt>
          <cx:dataId val="0"/>
        </cx:series>
      </cx:plotAreaRegion>
    </cx:plotArea>
  </cx:chart>
  <cx:spPr>
    <a:ln>
      <a:noFill/>
    </a:ln>
  </cx:spPr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_xlchart.v1.9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4E42C8B9-D95B-4619-A69E-80F386C41646}">
          <cx:spPr>
            <a:solidFill>
              <a:srgbClr val="FF0000"/>
            </a:solidFill>
          </cx:spPr>
          <cx:dataPt idx="0">
            <cx:spPr>
              <a:solidFill>
                <a:srgbClr val="92D050"/>
              </a:solidFill>
            </cx:spPr>
          </cx:dataPt>
          <cx:dataId val="0"/>
        </cx:series>
      </cx:plotAreaRegion>
    </cx:plotArea>
  </cx:chart>
  <cx:spPr>
    <a:ln>
      <a:noFill/>
    </a:ln>
  </cx:spPr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_xlchart.v1.10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4E42C8B9-D95B-4619-A69E-80F386C41646}">
          <cx:spPr>
            <a:solidFill>
              <a:srgbClr val="FF0000"/>
            </a:solidFill>
          </cx:spPr>
          <cx:dataPt idx="0">
            <cx:spPr>
              <a:solidFill>
                <a:srgbClr val="92D050"/>
              </a:solidFill>
            </cx:spPr>
          </cx:dataPt>
          <cx:dataId val="0"/>
        </cx:series>
      </cx:plotAreaRegion>
    </cx:plotArea>
  </cx:chart>
  <cx:spPr>
    <a:ln>
      <a:noFill/>
    </a:ln>
  </cx:spPr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_xlchart.v1.11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4E42C8B9-D95B-4619-A69E-80F386C41646}">
          <cx:spPr>
            <a:solidFill>
              <a:srgbClr val="FF0000"/>
            </a:solidFill>
          </cx:spPr>
          <cx:dataPt idx="0">
            <cx:spPr>
              <a:solidFill>
                <a:srgbClr val="92D050"/>
              </a:solidFill>
            </cx:spPr>
          </cx:dataPt>
          <cx:dataId val="0"/>
        </cx:series>
      </cx:plotAreaRegion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2.xml"/><Relationship Id="rId1" Type="http://schemas.microsoft.com/office/2014/relationships/chartEx" Target="../charts/chartEx2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3.xml"/><Relationship Id="rId1" Type="http://schemas.microsoft.com/office/2014/relationships/chartEx" Target="../charts/chartEx3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4.xml"/><Relationship Id="rId1" Type="http://schemas.microsoft.com/office/2014/relationships/chartEx" Target="../charts/chartEx4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5.xml"/><Relationship Id="rId1" Type="http://schemas.microsoft.com/office/2014/relationships/chartEx" Target="../charts/chartEx5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6.xml"/><Relationship Id="rId1" Type="http://schemas.microsoft.com/office/2014/relationships/chartEx" Target="../charts/chartEx6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7.xml"/><Relationship Id="rId1" Type="http://schemas.microsoft.com/office/2014/relationships/chartEx" Target="../charts/chartEx7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8.xml"/><Relationship Id="rId1" Type="http://schemas.microsoft.com/office/2014/relationships/chartEx" Target="../charts/chartEx8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9.xml"/><Relationship Id="rId1" Type="http://schemas.microsoft.com/office/2014/relationships/chartEx" Target="../charts/chartEx9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10.xml"/><Relationship Id="rId1" Type="http://schemas.microsoft.com/office/2014/relationships/chartEx" Target="../charts/chartEx10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11.xml"/><Relationship Id="rId1" Type="http://schemas.microsoft.com/office/2014/relationships/chartEx" Target="../charts/chartEx1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chart" Target="../charts/chart12.xml"/><Relationship Id="rId1" Type="http://schemas.microsoft.com/office/2014/relationships/chartEx" Target="../charts/chartEx12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9525</xdr:rowOff>
    </xdr:from>
    <xdr:to>
      <xdr:col>3</xdr:col>
      <xdr:colOff>1104899</xdr:colOff>
      <xdr:row>9</xdr:row>
      <xdr:rowOff>285750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F53C5236-367B-4CA8-B0DF-3868E3D8E1F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762000"/>
              <a:ext cx="3124199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14</xdr:row>
      <xdr:rowOff>7937</xdr:rowOff>
    </xdr:from>
    <xdr:to>
      <xdr:col>4</xdr:col>
      <xdr:colOff>7937</xdr:colOff>
      <xdr:row>14</xdr:row>
      <xdr:rowOff>754063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660A9F1-F159-48BF-A84E-B1B3DA87E2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34508</xdr:colOff>
      <xdr:row>0</xdr:row>
      <xdr:rowOff>168195</xdr:rowOff>
    </xdr:from>
    <xdr:to>
      <xdr:col>1</xdr:col>
      <xdr:colOff>377406</xdr:colOff>
      <xdr:row>2</xdr:row>
      <xdr:rowOff>129513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E313EC-38A3-4DE1-84B1-D629C00C8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546" y="168195"/>
          <a:ext cx="342898" cy="338724"/>
        </a:xfrm>
        <a:prstGeom prst="rect">
          <a:avLst/>
        </a:prstGeom>
      </xdr:spPr>
    </xdr:pic>
    <xdr:clientData/>
  </xdr:twoCellAnchor>
  <xdr:twoCellAnchor editAs="oneCell">
    <xdr:from>
      <xdr:col>3</xdr:col>
      <xdr:colOff>11026</xdr:colOff>
      <xdr:row>1</xdr:row>
      <xdr:rowOff>21317</xdr:rowOff>
    </xdr:from>
    <xdr:to>
      <xdr:col>3</xdr:col>
      <xdr:colOff>248978</xdr:colOff>
      <xdr:row>2</xdr:row>
      <xdr:rowOff>44929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698E21A-A22A-4FFB-AFAE-3B601C9CB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976" y="211817"/>
          <a:ext cx="237952" cy="214112"/>
        </a:xfrm>
        <a:prstGeom prst="rect">
          <a:avLst/>
        </a:prstGeom>
      </xdr:spPr>
    </xdr:pic>
    <xdr:clientData/>
  </xdr:twoCellAnchor>
  <xdr:twoCellAnchor editAs="oneCell">
    <xdr:from>
      <xdr:col>1</xdr:col>
      <xdr:colOff>279098</xdr:colOff>
      <xdr:row>14</xdr:row>
      <xdr:rowOff>288954</xdr:rowOff>
    </xdr:from>
    <xdr:to>
      <xdr:col>1</xdr:col>
      <xdr:colOff>420114</xdr:colOff>
      <xdr:row>14</xdr:row>
      <xdr:rowOff>431132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F5A0F04-58BA-4C31-8388-ED35E5875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98" y="3298854"/>
          <a:ext cx="141016" cy="142178"/>
        </a:xfrm>
        <a:prstGeom prst="rect">
          <a:avLst/>
        </a:prstGeom>
      </xdr:spPr>
    </xdr:pic>
    <xdr:clientData/>
  </xdr:twoCellAnchor>
  <xdr:twoCellAnchor editAs="oneCell">
    <xdr:from>
      <xdr:col>1</xdr:col>
      <xdr:colOff>273253</xdr:colOff>
      <xdr:row>14</xdr:row>
      <xdr:rowOff>125328</xdr:rowOff>
    </xdr:from>
    <xdr:to>
      <xdr:col>1</xdr:col>
      <xdr:colOff>430908</xdr:colOff>
      <xdr:row>14</xdr:row>
      <xdr:rowOff>284130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99B350F-D303-4E5E-B6FA-470BA4642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53" y="3135228"/>
          <a:ext cx="157655" cy="158802"/>
        </a:xfrm>
        <a:prstGeom prst="rect">
          <a:avLst/>
        </a:prstGeom>
      </xdr:spPr>
    </xdr:pic>
    <xdr:clientData/>
  </xdr:twoCellAnchor>
  <xdr:twoCellAnchor editAs="oneCell">
    <xdr:from>
      <xdr:col>0</xdr:col>
      <xdr:colOff>62901</xdr:colOff>
      <xdr:row>1</xdr:row>
      <xdr:rowOff>44929</xdr:rowOff>
    </xdr:from>
    <xdr:to>
      <xdr:col>0</xdr:col>
      <xdr:colOff>491526</xdr:colOff>
      <xdr:row>2</xdr:row>
      <xdr:rowOff>284851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12D78278-2A93-42DF-9838-B75FDC1F1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1" y="235429"/>
          <a:ext cx="428625" cy="4304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9525</xdr:rowOff>
    </xdr:from>
    <xdr:to>
      <xdr:col>3</xdr:col>
      <xdr:colOff>1104899</xdr:colOff>
      <xdr:row>9</xdr:row>
      <xdr:rowOff>342900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26B33167-D15C-4D27-9CEF-BEB54566DF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762000"/>
              <a:ext cx="3124199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14</xdr:row>
      <xdr:rowOff>7937</xdr:rowOff>
    </xdr:from>
    <xdr:to>
      <xdr:col>4</xdr:col>
      <xdr:colOff>7937</xdr:colOff>
      <xdr:row>14</xdr:row>
      <xdr:rowOff>754063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73F81D3-94F8-469E-8FE6-BDD2C90FB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34508</xdr:colOff>
      <xdr:row>0</xdr:row>
      <xdr:rowOff>168195</xdr:rowOff>
    </xdr:from>
    <xdr:to>
      <xdr:col>1</xdr:col>
      <xdr:colOff>377406</xdr:colOff>
      <xdr:row>2</xdr:row>
      <xdr:rowOff>129513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3EDD194-6655-45EA-B32C-DDF9ABC8B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08" y="168195"/>
          <a:ext cx="342898" cy="342318"/>
        </a:xfrm>
        <a:prstGeom prst="rect">
          <a:avLst/>
        </a:prstGeom>
      </xdr:spPr>
    </xdr:pic>
    <xdr:clientData/>
  </xdr:twoCellAnchor>
  <xdr:twoCellAnchor editAs="oneCell">
    <xdr:from>
      <xdr:col>3</xdr:col>
      <xdr:colOff>11026</xdr:colOff>
      <xdr:row>1</xdr:row>
      <xdr:rowOff>21317</xdr:rowOff>
    </xdr:from>
    <xdr:to>
      <xdr:col>3</xdr:col>
      <xdr:colOff>248978</xdr:colOff>
      <xdr:row>2</xdr:row>
      <xdr:rowOff>44929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06FA0A4-925A-4E92-96AF-02E1F1AE0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976" y="211817"/>
          <a:ext cx="237952" cy="214112"/>
        </a:xfrm>
        <a:prstGeom prst="rect">
          <a:avLst/>
        </a:prstGeom>
      </xdr:spPr>
    </xdr:pic>
    <xdr:clientData/>
  </xdr:twoCellAnchor>
  <xdr:twoCellAnchor editAs="oneCell">
    <xdr:from>
      <xdr:col>1</xdr:col>
      <xdr:colOff>279098</xdr:colOff>
      <xdr:row>14</xdr:row>
      <xdr:rowOff>288954</xdr:rowOff>
    </xdr:from>
    <xdr:to>
      <xdr:col>1</xdr:col>
      <xdr:colOff>420114</xdr:colOff>
      <xdr:row>14</xdr:row>
      <xdr:rowOff>431132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0655AC8-2331-4FB7-B990-ECF9EFA5E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98" y="3298854"/>
          <a:ext cx="141016" cy="142178"/>
        </a:xfrm>
        <a:prstGeom prst="rect">
          <a:avLst/>
        </a:prstGeom>
      </xdr:spPr>
    </xdr:pic>
    <xdr:clientData/>
  </xdr:twoCellAnchor>
  <xdr:twoCellAnchor editAs="oneCell">
    <xdr:from>
      <xdr:col>1</xdr:col>
      <xdr:colOff>273253</xdr:colOff>
      <xdr:row>14</xdr:row>
      <xdr:rowOff>125328</xdr:rowOff>
    </xdr:from>
    <xdr:to>
      <xdr:col>1</xdr:col>
      <xdr:colOff>430908</xdr:colOff>
      <xdr:row>14</xdr:row>
      <xdr:rowOff>284130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B83E22F-1568-4FD3-997C-3A13465FA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53" y="3135228"/>
          <a:ext cx="157655" cy="158802"/>
        </a:xfrm>
        <a:prstGeom prst="rect">
          <a:avLst/>
        </a:prstGeom>
      </xdr:spPr>
    </xdr:pic>
    <xdr:clientData/>
  </xdr:twoCellAnchor>
  <xdr:twoCellAnchor editAs="oneCell">
    <xdr:from>
      <xdr:col>0</xdr:col>
      <xdr:colOff>62901</xdr:colOff>
      <xdr:row>1</xdr:row>
      <xdr:rowOff>44929</xdr:rowOff>
    </xdr:from>
    <xdr:to>
      <xdr:col>0</xdr:col>
      <xdr:colOff>491526</xdr:colOff>
      <xdr:row>2</xdr:row>
      <xdr:rowOff>284851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D6067F04-EBEB-4854-B245-73319F9F4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1" y="235429"/>
          <a:ext cx="428625" cy="4304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9525</xdr:rowOff>
    </xdr:from>
    <xdr:to>
      <xdr:col>3</xdr:col>
      <xdr:colOff>1104899</xdr:colOff>
      <xdr:row>9</xdr:row>
      <xdr:rowOff>342900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D7947F45-36B5-4F26-AF0D-C6A6AE4AB8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762000"/>
              <a:ext cx="3124199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14</xdr:row>
      <xdr:rowOff>7937</xdr:rowOff>
    </xdr:from>
    <xdr:to>
      <xdr:col>4</xdr:col>
      <xdr:colOff>7937</xdr:colOff>
      <xdr:row>14</xdr:row>
      <xdr:rowOff>754063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9979A19-C290-4347-B6BA-5B53BDE98E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34508</xdr:colOff>
      <xdr:row>0</xdr:row>
      <xdr:rowOff>168195</xdr:rowOff>
    </xdr:from>
    <xdr:to>
      <xdr:col>1</xdr:col>
      <xdr:colOff>377406</xdr:colOff>
      <xdr:row>2</xdr:row>
      <xdr:rowOff>129513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3BF7FAE-A6D4-4813-A904-0AF953E2F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08" y="168195"/>
          <a:ext cx="342898" cy="342318"/>
        </a:xfrm>
        <a:prstGeom prst="rect">
          <a:avLst/>
        </a:prstGeom>
      </xdr:spPr>
    </xdr:pic>
    <xdr:clientData/>
  </xdr:twoCellAnchor>
  <xdr:twoCellAnchor editAs="oneCell">
    <xdr:from>
      <xdr:col>3</xdr:col>
      <xdr:colOff>11026</xdr:colOff>
      <xdr:row>1</xdr:row>
      <xdr:rowOff>21317</xdr:rowOff>
    </xdr:from>
    <xdr:to>
      <xdr:col>3</xdr:col>
      <xdr:colOff>248978</xdr:colOff>
      <xdr:row>2</xdr:row>
      <xdr:rowOff>44929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7DD568F-B2D0-43F8-B462-BC5E2BA5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976" y="211817"/>
          <a:ext cx="237952" cy="214112"/>
        </a:xfrm>
        <a:prstGeom prst="rect">
          <a:avLst/>
        </a:prstGeom>
      </xdr:spPr>
    </xdr:pic>
    <xdr:clientData/>
  </xdr:twoCellAnchor>
  <xdr:twoCellAnchor editAs="oneCell">
    <xdr:from>
      <xdr:col>1</xdr:col>
      <xdr:colOff>279098</xdr:colOff>
      <xdr:row>14</xdr:row>
      <xdr:rowOff>288954</xdr:rowOff>
    </xdr:from>
    <xdr:to>
      <xdr:col>1</xdr:col>
      <xdr:colOff>420114</xdr:colOff>
      <xdr:row>14</xdr:row>
      <xdr:rowOff>431132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58F4CB-0550-4366-A769-7B2C9C2F5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98" y="3298854"/>
          <a:ext cx="141016" cy="142178"/>
        </a:xfrm>
        <a:prstGeom prst="rect">
          <a:avLst/>
        </a:prstGeom>
      </xdr:spPr>
    </xdr:pic>
    <xdr:clientData/>
  </xdr:twoCellAnchor>
  <xdr:twoCellAnchor editAs="oneCell">
    <xdr:from>
      <xdr:col>1</xdr:col>
      <xdr:colOff>273253</xdr:colOff>
      <xdr:row>14</xdr:row>
      <xdr:rowOff>125328</xdr:rowOff>
    </xdr:from>
    <xdr:to>
      <xdr:col>1</xdr:col>
      <xdr:colOff>430908</xdr:colOff>
      <xdr:row>14</xdr:row>
      <xdr:rowOff>284130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329F917D-A6F4-4B1C-9EBF-407D0CDF7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53" y="3135228"/>
          <a:ext cx="157655" cy="158802"/>
        </a:xfrm>
        <a:prstGeom prst="rect">
          <a:avLst/>
        </a:prstGeom>
      </xdr:spPr>
    </xdr:pic>
    <xdr:clientData/>
  </xdr:twoCellAnchor>
  <xdr:twoCellAnchor editAs="oneCell">
    <xdr:from>
      <xdr:col>0</xdr:col>
      <xdr:colOff>62901</xdr:colOff>
      <xdr:row>1</xdr:row>
      <xdr:rowOff>44929</xdr:rowOff>
    </xdr:from>
    <xdr:to>
      <xdr:col>0</xdr:col>
      <xdr:colOff>491526</xdr:colOff>
      <xdr:row>2</xdr:row>
      <xdr:rowOff>284851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CA3738F7-C223-475A-BDB4-579C98765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1" y="235429"/>
          <a:ext cx="428625" cy="4304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9525</xdr:rowOff>
    </xdr:from>
    <xdr:to>
      <xdr:col>3</xdr:col>
      <xdr:colOff>1104899</xdr:colOff>
      <xdr:row>9</xdr:row>
      <xdr:rowOff>342900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8E74706A-4491-431A-8DE3-BCF1A999AE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762000"/>
              <a:ext cx="3124199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14</xdr:row>
      <xdr:rowOff>7937</xdr:rowOff>
    </xdr:from>
    <xdr:to>
      <xdr:col>4</xdr:col>
      <xdr:colOff>7937</xdr:colOff>
      <xdr:row>14</xdr:row>
      <xdr:rowOff>754063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1450947-D593-4224-A913-8E277FC3A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34508</xdr:colOff>
      <xdr:row>0</xdr:row>
      <xdr:rowOff>168195</xdr:rowOff>
    </xdr:from>
    <xdr:to>
      <xdr:col>1</xdr:col>
      <xdr:colOff>377406</xdr:colOff>
      <xdr:row>2</xdr:row>
      <xdr:rowOff>129513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DA0DAE76-1EA5-4761-BD85-BBDFBE7BA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08" y="168195"/>
          <a:ext cx="342898" cy="342318"/>
        </a:xfrm>
        <a:prstGeom prst="rect">
          <a:avLst/>
        </a:prstGeom>
      </xdr:spPr>
    </xdr:pic>
    <xdr:clientData/>
  </xdr:twoCellAnchor>
  <xdr:twoCellAnchor editAs="oneCell">
    <xdr:from>
      <xdr:col>3</xdr:col>
      <xdr:colOff>11026</xdr:colOff>
      <xdr:row>1</xdr:row>
      <xdr:rowOff>21317</xdr:rowOff>
    </xdr:from>
    <xdr:to>
      <xdr:col>3</xdr:col>
      <xdr:colOff>248978</xdr:colOff>
      <xdr:row>2</xdr:row>
      <xdr:rowOff>44929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7790D9D-C300-475D-BF8A-03560A966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976" y="211817"/>
          <a:ext cx="237952" cy="214112"/>
        </a:xfrm>
        <a:prstGeom prst="rect">
          <a:avLst/>
        </a:prstGeom>
      </xdr:spPr>
    </xdr:pic>
    <xdr:clientData/>
  </xdr:twoCellAnchor>
  <xdr:twoCellAnchor editAs="oneCell">
    <xdr:from>
      <xdr:col>1</xdr:col>
      <xdr:colOff>279098</xdr:colOff>
      <xdr:row>14</xdr:row>
      <xdr:rowOff>288954</xdr:rowOff>
    </xdr:from>
    <xdr:to>
      <xdr:col>1</xdr:col>
      <xdr:colOff>420114</xdr:colOff>
      <xdr:row>14</xdr:row>
      <xdr:rowOff>431132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2D3EE64-7762-4E0B-AEBD-9A7247776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98" y="3298854"/>
          <a:ext cx="141016" cy="142178"/>
        </a:xfrm>
        <a:prstGeom prst="rect">
          <a:avLst/>
        </a:prstGeom>
      </xdr:spPr>
    </xdr:pic>
    <xdr:clientData/>
  </xdr:twoCellAnchor>
  <xdr:twoCellAnchor editAs="oneCell">
    <xdr:from>
      <xdr:col>1</xdr:col>
      <xdr:colOff>273253</xdr:colOff>
      <xdr:row>14</xdr:row>
      <xdr:rowOff>125328</xdr:rowOff>
    </xdr:from>
    <xdr:to>
      <xdr:col>1</xdr:col>
      <xdr:colOff>430908</xdr:colOff>
      <xdr:row>14</xdr:row>
      <xdr:rowOff>284130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6ADC50A6-C4D1-4B6B-AA27-D3B8DC93E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53" y="3135228"/>
          <a:ext cx="157655" cy="158802"/>
        </a:xfrm>
        <a:prstGeom prst="rect">
          <a:avLst/>
        </a:prstGeom>
      </xdr:spPr>
    </xdr:pic>
    <xdr:clientData/>
  </xdr:twoCellAnchor>
  <xdr:twoCellAnchor editAs="oneCell">
    <xdr:from>
      <xdr:col>0</xdr:col>
      <xdr:colOff>62901</xdr:colOff>
      <xdr:row>1</xdr:row>
      <xdr:rowOff>44929</xdr:rowOff>
    </xdr:from>
    <xdr:to>
      <xdr:col>0</xdr:col>
      <xdr:colOff>491526</xdr:colOff>
      <xdr:row>2</xdr:row>
      <xdr:rowOff>284851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5AE704DE-565B-413C-8EEE-62ECB916A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1" y="235429"/>
          <a:ext cx="428625" cy="4304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9525</xdr:rowOff>
    </xdr:from>
    <xdr:to>
      <xdr:col>3</xdr:col>
      <xdr:colOff>1104899</xdr:colOff>
      <xdr:row>9</xdr:row>
      <xdr:rowOff>342900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AEFF77A7-D9C3-4C47-8F10-1BB29F2B6A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762000"/>
              <a:ext cx="3124199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14</xdr:row>
      <xdr:rowOff>7937</xdr:rowOff>
    </xdr:from>
    <xdr:to>
      <xdr:col>4</xdr:col>
      <xdr:colOff>7937</xdr:colOff>
      <xdr:row>14</xdr:row>
      <xdr:rowOff>754063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F47C57F-14D7-41E8-8AA7-D0978785F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34508</xdr:colOff>
      <xdr:row>0</xdr:row>
      <xdr:rowOff>168195</xdr:rowOff>
    </xdr:from>
    <xdr:to>
      <xdr:col>1</xdr:col>
      <xdr:colOff>377406</xdr:colOff>
      <xdr:row>2</xdr:row>
      <xdr:rowOff>129513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52AEA8A-FB30-4647-8A69-0198EEA40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08" y="168195"/>
          <a:ext cx="342898" cy="342318"/>
        </a:xfrm>
        <a:prstGeom prst="rect">
          <a:avLst/>
        </a:prstGeom>
      </xdr:spPr>
    </xdr:pic>
    <xdr:clientData/>
  </xdr:twoCellAnchor>
  <xdr:twoCellAnchor editAs="oneCell">
    <xdr:from>
      <xdr:col>3</xdr:col>
      <xdr:colOff>11026</xdr:colOff>
      <xdr:row>1</xdr:row>
      <xdr:rowOff>21317</xdr:rowOff>
    </xdr:from>
    <xdr:to>
      <xdr:col>3</xdr:col>
      <xdr:colOff>248978</xdr:colOff>
      <xdr:row>2</xdr:row>
      <xdr:rowOff>44929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5C39A2F-741C-4ADF-A1C0-FF9F04E72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976" y="211817"/>
          <a:ext cx="237952" cy="214112"/>
        </a:xfrm>
        <a:prstGeom prst="rect">
          <a:avLst/>
        </a:prstGeom>
      </xdr:spPr>
    </xdr:pic>
    <xdr:clientData/>
  </xdr:twoCellAnchor>
  <xdr:twoCellAnchor editAs="oneCell">
    <xdr:from>
      <xdr:col>1</xdr:col>
      <xdr:colOff>279098</xdr:colOff>
      <xdr:row>14</xdr:row>
      <xdr:rowOff>288954</xdr:rowOff>
    </xdr:from>
    <xdr:to>
      <xdr:col>1</xdr:col>
      <xdr:colOff>420114</xdr:colOff>
      <xdr:row>14</xdr:row>
      <xdr:rowOff>431132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4D4095F-A8A9-4DCE-B77C-C824A9198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98" y="3298854"/>
          <a:ext cx="141016" cy="142178"/>
        </a:xfrm>
        <a:prstGeom prst="rect">
          <a:avLst/>
        </a:prstGeom>
      </xdr:spPr>
    </xdr:pic>
    <xdr:clientData/>
  </xdr:twoCellAnchor>
  <xdr:twoCellAnchor editAs="oneCell">
    <xdr:from>
      <xdr:col>1</xdr:col>
      <xdr:colOff>273253</xdr:colOff>
      <xdr:row>14</xdr:row>
      <xdr:rowOff>125328</xdr:rowOff>
    </xdr:from>
    <xdr:to>
      <xdr:col>1</xdr:col>
      <xdr:colOff>430908</xdr:colOff>
      <xdr:row>14</xdr:row>
      <xdr:rowOff>284130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C3E0609-B98D-4E85-815F-7598B83A5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53" y="3135228"/>
          <a:ext cx="157655" cy="158802"/>
        </a:xfrm>
        <a:prstGeom prst="rect">
          <a:avLst/>
        </a:prstGeom>
      </xdr:spPr>
    </xdr:pic>
    <xdr:clientData/>
  </xdr:twoCellAnchor>
  <xdr:twoCellAnchor editAs="oneCell">
    <xdr:from>
      <xdr:col>0</xdr:col>
      <xdr:colOff>62901</xdr:colOff>
      <xdr:row>1</xdr:row>
      <xdr:rowOff>44929</xdr:rowOff>
    </xdr:from>
    <xdr:to>
      <xdr:col>0</xdr:col>
      <xdr:colOff>491526</xdr:colOff>
      <xdr:row>2</xdr:row>
      <xdr:rowOff>284851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B45702A3-6D46-4910-A03F-6D9C3D8AB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1" y="235429"/>
          <a:ext cx="428625" cy="43042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9525</xdr:rowOff>
    </xdr:from>
    <xdr:to>
      <xdr:col>3</xdr:col>
      <xdr:colOff>1104899</xdr:colOff>
      <xdr:row>9</xdr:row>
      <xdr:rowOff>342900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7BCE4929-A374-48BD-83F9-78CA43D1B8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762000"/>
              <a:ext cx="3124199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14</xdr:row>
      <xdr:rowOff>7937</xdr:rowOff>
    </xdr:from>
    <xdr:to>
      <xdr:col>4</xdr:col>
      <xdr:colOff>7937</xdr:colOff>
      <xdr:row>14</xdr:row>
      <xdr:rowOff>754063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2C45F89-5CF6-4D3D-A78E-97F47B768C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34508</xdr:colOff>
      <xdr:row>0</xdr:row>
      <xdr:rowOff>168195</xdr:rowOff>
    </xdr:from>
    <xdr:to>
      <xdr:col>1</xdr:col>
      <xdr:colOff>377406</xdr:colOff>
      <xdr:row>2</xdr:row>
      <xdr:rowOff>129513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8B4F5E3-3A5B-4E8E-A081-70E24BF49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08" y="168195"/>
          <a:ext cx="342898" cy="342318"/>
        </a:xfrm>
        <a:prstGeom prst="rect">
          <a:avLst/>
        </a:prstGeom>
      </xdr:spPr>
    </xdr:pic>
    <xdr:clientData/>
  </xdr:twoCellAnchor>
  <xdr:twoCellAnchor editAs="oneCell">
    <xdr:from>
      <xdr:col>3</xdr:col>
      <xdr:colOff>11026</xdr:colOff>
      <xdr:row>1</xdr:row>
      <xdr:rowOff>21317</xdr:rowOff>
    </xdr:from>
    <xdr:to>
      <xdr:col>3</xdr:col>
      <xdr:colOff>248978</xdr:colOff>
      <xdr:row>2</xdr:row>
      <xdr:rowOff>44929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875F492-1CD2-481C-B3A5-E01685AE0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976" y="211817"/>
          <a:ext cx="237952" cy="214112"/>
        </a:xfrm>
        <a:prstGeom prst="rect">
          <a:avLst/>
        </a:prstGeom>
      </xdr:spPr>
    </xdr:pic>
    <xdr:clientData/>
  </xdr:twoCellAnchor>
  <xdr:twoCellAnchor editAs="oneCell">
    <xdr:from>
      <xdr:col>1</xdr:col>
      <xdr:colOff>279098</xdr:colOff>
      <xdr:row>14</xdr:row>
      <xdr:rowOff>288954</xdr:rowOff>
    </xdr:from>
    <xdr:to>
      <xdr:col>1</xdr:col>
      <xdr:colOff>420114</xdr:colOff>
      <xdr:row>14</xdr:row>
      <xdr:rowOff>431132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DAED7F4-9D67-4282-8934-A74C485B5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98" y="3298854"/>
          <a:ext cx="141016" cy="142178"/>
        </a:xfrm>
        <a:prstGeom prst="rect">
          <a:avLst/>
        </a:prstGeom>
      </xdr:spPr>
    </xdr:pic>
    <xdr:clientData/>
  </xdr:twoCellAnchor>
  <xdr:twoCellAnchor editAs="oneCell">
    <xdr:from>
      <xdr:col>1</xdr:col>
      <xdr:colOff>273253</xdr:colOff>
      <xdr:row>14</xdr:row>
      <xdr:rowOff>125328</xdr:rowOff>
    </xdr:from>
    <xdr:to>
      <xdr:col>1</xdr:col>
      <xdr:colOff>430908</xdr:colOff>
      <xdr:row>14</xdr:row>
      <xdr:rowOff>284130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6B5D851-89EB-40F6-A548-18CC05B85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53" y="3135228"/>
          <a:ext cx="157655" cy="158802"/>
        </a:xfrm>
        <a:prstGeom prst="rect">
          <a:avLst/>
        </a:prstGeom>
      </xdr:spPr>
    </xdr:pic>
    <xdr:clientData/>
  </xdr:twoCellAnchor>
  <xdr:twoCellAnchor editAs="oneCell">
    <xdr:from>
      <xdr:col>0</xdr:col>
      <xdr:colOff>62901</xdr:colOff>
      <xdr:row>1</xdr:row>
      <xdr:rowOff>44929</xdr:rowOff>
    </xdr:from>
    <xdr:to>
      <xdr:col>0</xdr:col>
      <xdr:colOff>491526</xdr:colOff>
      <xdr:row>2</xdr:row>
      <xdr:rowOff>284851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E38FB342-0EB1-47DF-8731-D33EC0044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1" y="235429"/>
          <a:ext cx="428625" cy="43042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9525</xdr:rowOff>
    </xdr:from>
    <xdr:to>
      <xdr:col>3</xdr:col>
      <xdr:colOff>1104899</xdr:colOff>
      <xdr:row>9</xdr:row>
      <xdr:rowOff>342900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90280F4B-F7E5-902C-A47C-EDB37F48C9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762000"/>
              <a:ext cx="3124199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14</xdr:row>
      <xdr:rowOff>7937</xdr:rowOff>
    </xdr:from>
    <xdr:to>
      <xdr:col>4</xdr:col>
      <xdr:colOff>7937</xdr:colOff>
      <xdr:row>14</xdr:row>
      <xdr:rowOff>754063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C07D3E2C-E172-F563-0B08-B4DEF7AC2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34508</xdr:colOff>
      <xdr:row>0</xdr:row>
      <xdr:rowOff>168195</xdr:rowOff>
    </xdr:from>
    <xdr:to>
      <xdr:col>1</xdr:col>
      <xdr:colOff>377406</xdr:colOff>
      <xdr:row>2</xdr:row>
      <xdr:rowOff>129513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49D719B4-B006-2859-AD41-D720DDF24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546" y="168195"/>
          <a:ext cx="342898" cy="338724"/>
        </a:xfrm>
        <a:prstGeom prst="rect">
          <a:avLst/>
        </a:prstGeom>
      </xdr:spPr>
    </xdr:pic>
    <xdr:clientData/>
  </xdr:twoCellAnchor>
  <xdr:twoCellAnchor editAs="oneCell">
    <xdr:from>
      <xdr:col>3</xdr:col>
      <xdr:colOff>11026</xdr:colOff>
      <xdr:row>1</xdr:row>
      <xdr:rowOff>21317</xdr:rowOff>
    </xdr:from>
    <xdr:to>
      <xdr:col>3</xdr:col>
      <xdr:colOff>248978</xdr:colOff>
      <xdr:row>2</xdr:row>
      <xdr:rowOff>44929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A63BB7A4-0FFF-56A8-C6B7-DF2226F4F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851" y="210020"/>
          <a:ext cx="237952" cy="212315"/>
        </a:xfrm>
        <a:prstGeom prst="rect">
          <a:avLst/>
        </a:prstGeom>
      </xdr:spPr>
    </xdr:pic>
    <xdr:clientData/>
  </xdr:twoCellAnchor>
  <xdr:twoCellAnchor editAs="oneCell">
    <xdr:from>
      <xdr:col>1</xdr:col>
      <xdr:colOff>279098</xdr:colOff>
      <xdr:row>14</xdr:row>
      <xdr:rowOff>288954</xdr:rowOff>
    </xdr:from>
    <xdr:to>
      <xdr:col>1</xdr:col>
      <xdr:colOff>420114</xdr:colOff>
      <xdr:row>14</xdr:row>
      <xdr:rowOff>431132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A6D5DB0E-4CD9-92C5-70D2-9C19C3D05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703" y="4149086"/>
          <a:ext cx="141016" cy="142178"/>
        </a:xfrm>
        <a:prstGeom prst="rect">
          <a:avLst/>
        </a:prstGeom>
      </xdr:spPr>
    </xdr:pic>
    <xdr:clientData/>
  </xdr:twoCellAnchor>
  <xdr:twoCellAnchor editAs="oneCell">
    <xdr:from>
      <xdr:col>1</xdr:col>
      <xdr:colOff>273253</xdr:colOff>
      <xdr:row>14</xdr:row>
      <xdr:rowOff>125328</xdr:rowOff>
    </xdr:from>
    <xdr:to>
      <xdr:col>1</xdr:col>
      <xdr:colOff>430908</xdr:colOff>
      <xdr:row>14</xdr:row>
      <xdr:rowOff>284130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617FE3D8-3F65-1E66-6F4B-BC67C3651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58" y="3985460"/>
          <a:ext cx="157655" cy="158802"/>
        </a:xfrm>
        <a:prstGeom prst="rect">
          <a:avLst/>
        </a:prstGeom>
      </xdr:spPr>
    </xdr:pic>
    <xdr:clientData/>
  </xdr:twoCellAnchor>
  <xdr:twoCellAnchor editAs="oneCell">
    <xdr:from>
      <xdr:col>0</xdr:col>
      <xdr:colOff>62901</xdr:colOff>
      <xdr:row>1</xdr:row>
      <xdr:rowOff>44929</xdr:rowOff>
    </xdr:from>
    <xdr:to>
      <xdr:col>0</xdr:col>
      <xdr:colOff>491526</xdr:colOff>
      <xdr:row>2</xdr:row>
      <xdr:rowOff>284851</xdr:rowOff>
    </xdr:to>
    <xdr:pic macro="[0]!menu_aparecer">
      <xdr:nvPicPr>
        <xdr:cNvPr id="18" name="Imagem 17">
          <a:extLst>
            <a:ext uri="{FF2B5EF4-FFF2-40B4-BE49-F238E27FC236}">
              <a16:creationId xmlns:a16="http://schemas.microsoft.com/office/drawing/2014/main" id="{DD1D6B5F-9AE7-43A4-B325-9842C2C9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1" y="233632"/>
          <a:ext cx="428625" cy="4286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9525</xdr:rowOff>
    </xdr:from>
    <xdr:to>
      <xdr:col>3</xdr:col>
      <xdr:colOff>1104899</xdr:colOff>
      <xdr:row>9</xdr:row>
      <xdr:rowOff>342900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649E112F-5326-45A3-98F3-C47F0A77E8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762000"/>
              <a:ext cx="3124199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14</xdr:row>
      <xdr:rowOff>7937</xdr:rowOff>
    </xdr:from>
    <xdr:to>
      <xdr:col>4</xdr:col>
      <xdr:colOff>7937</xdr:colOff>
      <xdr:row>14</xdr:row>
      <xdr:rowOff>754063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6715392-AD35-40A3-BE1D-BB9C7B381D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34508</xdr:colOff>
      <xdr:row>0</xdr:row>
      <xdr:rowOff>168195</xdr:rowOff>
    </xdr:from>
    <xdr:to>
      <xdr:col>1</xdr:col>
      <xdr:colOff>377406</xdr:colOff>
      <xdr:row>2</xdr:row>
      <xdr:rowOff>129513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76520697-2163-41E9-AF9F-1F59D6F2B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08" y="168195"/>
          <a:ext cx="342898" cy="342318"/>
        </a:xfrm>
        <a:prstGeom prst="rect">
          <a:avLst/>
        </a:prstGeom>
      </xdr:spPr>
    </xdr:pic>
    <xdr:clientData/>
  </xdr:twoCellAnchor>
  <xdr:twoCellAnchor editAs="oneCell">
    <xdr:from>
      <xdr:col>3</xdr:col>
      <xdr:colOff>11026</xdr:colOff>
      <xdr:row>1</xdr:row>
      <xdr:rowOff>21317</xdr:rowOff>
    </xdr:from>
    <xdr:to>
      <xdr:col>3</xdr:col>
      <xdr:colOff>248978</xdr:colOff>
      <xdr:row>2</xdr:row>
      <xdr:rowOff>44929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AB352EF-EA5D-48F6-A13D-ACFA72AD8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976" y="211817"/>
          <a:ext cx="237952" cy="214112"/>
        </a:xfrm>
        <a:prstGeom prst="rect">
          <a:avLst/>
        </a:prstGeom>
      </xdr:spPr>
    </xdr:pic>
    <xdr:clientData/>
  </xdr:twoCellAnchor>
  <xdr:twoCellAnchor editAs="oneCell">
    <xdr:from>
      <xdr:col>1</xdr:col>
      <xdr:colOff>279098</xdr:colOff>
      <xdr:row>14</xdr:row>
      <xdr:rowOff>288954</xdr:rowOff>
    </xdr:from>
    <xdr:to>
      <xdr:col>1</xdr:col>
      <xdr:colOff>420114</xdr:colOff>
      <xdr:row>14</xdr:row>
      <xdr:rowOff>431132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B401558-B100-4BC1-AE5A-BF014E25F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98" y="3298854"/>
          <a:ext cx="141016" cy="142178"/>
        </a:xfrm>
        <a:prstGeom prst="rect">
          <a:avLst/>
        </a:prstGeom>
      </xdr:spPr>
    </xdr:pic>
    <xdr:clientData/>
  </xdr:twoCellAnchor>
  <xdr:twoCellAnchor editAs="oneCell">
    <xdr:from>
      <xdr:col>1</xdr:col>
      <xdr:colOff>273253</xdr:colOff>
      <xdr:row>14</xdr:row>
      <xdr:rowOff>125328</xdr:rowOff>
    </xdr:from>
    <xdr:to>
      <xdr:col>1</xdr:col>
      <xdr:colOff>430908</xdr:colOff>
      <xdr:row>14</xdr:row>
      <xdr:rowOff>284130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2072FCD-C12E-4217-BF83-8E4AF9477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53" y="3135228"/>
          <a:ext cx="157655" cy="158802"/>
        </a:xfrm>
        <a:prstGeom prst="rect">
          <a:avLst/>
        </a:prstGeom>
      </xdr:spPr>
    </xdr:pic>
    <xdr:clientData/>
  </xdr:twoCellAnchor>
  <xdr:twoCellAnchor editAs="oneCell">
    <xdr:from>
      <xdr:col>0</xdr:col>
      <xdr:colOff>62901</xdr:colOff>
      <xdr:row>1</xdr:row>
      <xdr:rowOff>44929</xdr:rowOff>
    </xdr:from>
    <xdr:to>
      <xdr:col>0</xdr:col>
      <xdr:colOff>491526</xdr:colOff>
      <xdr:row>2</xdr:row>
      <xdr:rowOff>284851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6FFCB901-BC76-4178-8E6A-20FCE6727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1" y="235429"/>
          <a:ext cx="428625" cy="43042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9525</xdr:rowOff>
    </xdr:from>
    <xdr:to>
      <xdr:col>3</xdr:col>
      <xdr:colOff>1104899</xdr:colOff>
      <xdr:row>9</xdr:row>
      <xdr:rowOff>342900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06B41E7-1083-4DC4-829C-090B9E9AE2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762000"/>
              <a:ext cx="3124199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14</xdr:row>
      <xdr:rowOff>7937</xdr:rowOff>
    </xdr:from>
    <xdr:to>
      <xdr:col>4</xdr:col>
      <xdr:colOff>7937</xdr:colOff>
      <xdr:row>14</xdr:row>
      <xdr:rowOff>754063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92C31FC-8B62-4C22-9C04-3686C58E3E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34508</xdr:colOff>
      <xdr:row>0</xdr:row>
      <xdr:rowOff>168195</xdr:rowOff>
    </xdr:from>
    <xdr:to>
      <xdr:col>1</xdr:col>
      <xdr:colOff>377406</xdr:colOff>
      <xdr:row>2</xdr:row>
      <xdr:rowOff>129513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49FA50B-D440-4451-A1C0-EF4B10EF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08" y="168195"/>
          <a:ext cx="342898" cy="342318"/>
        </a:xfrm>
        <a:prstGeom prst="rect">
          <a:avLst/>
        </a:prstGeom>
      </xdr:spPr>
    </xdr:pic>
    <xdr:clientData/>
  </xdr:twoCellAnchor>
  <xdr:twoCellAnchor editAs="oneCell">
    <xdr:from>
      <xdr:col>3</xdr:col>
      <xdr:colOff>11026</xdr:colOff>
      <xdr:row>1</xdr:row>
      <xdr:rowOff>21317</xdr:rowOff>
    </xdr:from>
    <xdr:to>
      <xdr:col>3</xdr:col>
      <xdr:colOff>248978</xdr:colOff>
      <xdr:row>2</xdr:row>
      <xdr:rowOff>44929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CC6D3B-6A23-4BA5-BB58-A9D37E543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976" y="211817"/>
          <a:ext cx="237952" cy="214112"/>
        </a:xfrm>
        <a:prstGeom prst="rect">
          <a:avLst/>
        </a:prstGeom>
      </xdr:spPr>
    </xdr:pic>
    <xdr:clientData/>
  </xdr:twoCellAnchor>
  <xdr:twoCellAnchor editAs="oneCell">
    <xdr:from>
      <xdr:col>1</xdr:col>
      <xdr:colOff>279098</xdr:colOff>
      <xdr:row>14</xdr:row>
      <xdr:rowOff>288954</xdr:rowOff>
    </xdr:from>
    <xdr:to>
      <xdr:col>1</xdr:col>
      <xdr:colOff>420114</xdr:colOff>
      <xdr:row>14</xdr:row>
      <xdr:rowOff>431132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4DAE81B-A369-4869-80BF-B8BA81A10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98" y="3298854"/>
          <a:ext cx="141016" cy="142178"/>
        </a:xfrm>
        <a:prstGeom prst="rect">
          <a:avLst/>
        </a:prstGeom>
      </xdr:spPr>
    </xdr:pic>
    <xdr:clientData/>
  </xdr:twoCellAnchor>
  <xdr:twoCellAnchor editAs="oneCell">
    <xdr:from>
      <xdr:col>1</xdr:col>
      <xdr:colOff>273253</xdr:colOff>
      <xdr:row>14</xdr:row>
      <xdr:rowOff>125328</xdr:rowOff>
    </xdr:from>
    <xdr:to>
      <xdr:col>1</xdr:col>
      <xdr:colOff>430908</xdr:colOff>
      <xdr:row>14</xdr:row>
      <xdr:rowOff>284130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36BBBEBD-C88E-4CFA-A50F-807D8F1B8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53" y="3135228"/>
          <a:ext cx="157655" cy="158802"/>
        </a:xfrm>
        <a:prstGeom prst="rect">
          <a:avLst/>
        </a:prstGeom>
      </xdr:spPr>
    </xdr:pic>
    <xdr:clientData/>
  </xdr:twoCellAnchor>
  <xdr:twoCellAnchor editAs="oneCell">
    <xdr:from>
      <xdr:col>0</xdr:col>
      <xdr:colOff>62901</xdr:colOff>
      <xdr:row>1</xdr:row>
      <xdr:rowOff>44929</xdr:rowOff>
    </xdr:from>
    <xdr:to>
      <xdr:col>0</xdr:col>
      <xdr:colOff>491526</xdr:colOff>
      <xdr:row>2</xdr:row>
      <xdr:rowOff>284851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EED6D512-5B7D-4061-A5D8-FBFADB00B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1" y="235429"/>
          <a:ext cx="428625" cy="43042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9525</xdr:rowOff>
    </xdr:from>
    <xdr:to>
      <xdr:col>3</xdr:col>
      <xdr:colOff>1104899</xdr:colOff>
      <xdr:row>9</xdr:row>
      <xdr:rowOff>342900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2094E05B-BB89-403D-B61E-14EC8622D0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762000"/>
              <a:ext cx="3124199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14</xdr:row>
      <xdr:rowOff>7937</xdr:rowOff>
    </xdr:from>
    <xdr:to>
      <xdr:col>4</xdr:col>
      <xdr:colOff>7937</xdr:colOff>
      <xdr:row>14</xdr:row>
      <xdr:rowOff>754063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D2B5202-0FFB-47D9-BD81-E2372219E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34508</xdr:colOff>
      <xdr:row>0</xdr:row>
      <xdr:rowOff>168195</xdr:rowOff>
    </xdr:from>
    <xdr:to>
      <xdr:col>1</xdr:col>
      <xdr:colOff>377406</xdr:colOff>
      <xdr:row>2</xdr:row>
      <xdr:rowOff>129513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C691D47-9284-4161-804B-5C536A974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08" y="168195"/>
          <a:ext cx="342898" cy="342318"/>
        </a:xfrm>
        <a:prstGeom prst="rect">
          <a:avLst/>
        </a:prstGeom>
      </xdr:spPr>
    </xdr:pic>
    <xdr:clientData/>
  </xdr:twoCellAnchor>
  <xdr:twoCellAnchor editAs="oneCell">
    <xdr:from>
      <xdr:col>3</xdr:col>
      <xdr:colOff>11026</xdr:colOff>
      <xdr:row>1</xdr:row>
      <xdr:rowOff>21317</xdr:rowOff>
    </xdr:from>
    <xdr:to>
      <xdr:col>3</xdr:col>
      <xdr:colOff>248978</xdr:colOff>
      <xdr:row>2</xdr:row>
      <xdr:rowOff>44929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B08F134-F728-4945-83A2-6F4BADB43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976" y="211817"/>
          <a:ext cx="237952" cy="214112"/>
        </a:xfrm>
        <a:prstGeom prst="rect">
          <a:avLst/>
        </a:prstGeom>
      </xdr:spPr>
    </xdr:pic>
    <xdr:clientData/>
  </xdr:twoCellAnchor>
  <xdr:twoCellAnchor editAs="oneCell">
    <xdr:from>
      <xdr:col>1</xdr:col>
      <xdr:colOff>279098</xdr:colOff>
      <xdr:row>14</xdr:row>
      <xdr:rowOff>288954</xdr:rowOff>
    </xdr:from>
    <xdr:to>
      <xdr:col>1</xdr:col>
      <xdr:colOff>420114</xdr:colOff>
      <xdr:row>14</xdr:row>
      <xdr:rowOff>431132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E4EE184E-1EBE-4C0E-B0E2-06528DBDA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98" y="3298854"/>
          <a:ext cx="141016" cy="142178"/>
        </a:xfrm>
        <a:prstGeom prst="rect">
          <a:avLst/>
        </a:prstGeom>
      </xdr:spPr>
    </xdr:pic>
    <xdr:clientData/>
  </xdr:twoCellAnchor>
  <xdr:twoCellAnchor editAs="oneCell">
    <xdr:from>
      <xdr:col>1</xdr:col>
      <xdr:colOff>273253</xdr:colOff>
      <xdr:row>14</xdr:row>
      <xdr:rowOff>125328</xdr:rowOff>
    </xdr:from>
    <xdr:to>
      <xdr:col>1</xdr:col>
      <xdr:colOff>430908</xdr:colOff>
      <xdr:row>14</xdr:row>
      <xdr:rowOff>284130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974A7A6-EF35-4837-8B53-F76BE1E94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53" y="3135228"/>
          <a:ext cx="157655" cy="158802"/>
        </a:xfrm>
        <a:prstGeom prst="rect">
          <a:avLst/>
        </a:prstGeom>
      </xdr:spPr>
    </xdr:pic>
    <xdr:clientData/>
  </xdr:twoCellAnchor>
  <xdr:twoCellAnchor editAs="oneCell">
    <xdr:from>
      <xdr:col>0</xdr:col>
      <xdr:colOff>62901</xdr:colOff>
      <xdr:row>1</xdr:row>
      <xdr:rowOff>44929</xdr:rowOff>
    </xdr:from>
    <xdr:to>
      <xdr:col>0</xdr:col>
      <xdr:colOff>491526</xdr:colOff>
      <xdr:row>2</xdr:row>
      <xdr:rowOff>284851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F67B1D85-63C6-43D3-B503-2C7146593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1" y="235429"/>
          <a:ext cx="428625" cy="43042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9525</xdr:rowOff>
    </xdr:from>
    <xdr:to>
      <xdr:col>3</xdr:col>
      <xdr:colOff>1104899</xdr:colOff>
      <xdr:row>9</xdr:row>
      <xdr:rowOff>342900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4C9105C6-8096-4DDE-8F49-28C5FBF2BF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762000"/>
              <a:ext cx="3124199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14</xdr:row>
      <xdr:rowOff>7937</xdr:rowOff>
    </xdr:from>
    <xdr:to>
      <xdr:col>4</xdr:col>
      <xdr:colOff>7937</xdr:colOff>
      <xdr:row>14</xdr:row>
      <xdr:rowOff>754063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8F5ACA-ECAC-4A84-A033-5354C15A4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34508</xdr:colOff>
      <xdr:row>0</xdr:row>
      <xdr:rowOff>168195</xdr:rowOff>
    </xdr:from>
    <xdr:to>
      <xdr:col>1</xdr:col>
      <xdr:colOff>377406</xdr:colOff>
      <xdr:row>2</xdr:row>
      <xdr:rowOff>129513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1FBF9C0-45C3-43EB-A1F2-73E81CDED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08" y="168195"/>
          <a:ext cx="342898" cy="342318"/>
        </a:xfrm>
        <a:prstGeom prst="rect">
          <a:avLst/>
        </a:prstGeom>
      </xdr:spPr>
    </xdr:pic>
    <xdr:clientData/>
  </xdr:twoCellAnchor>
  <xdr:twoCellAnchor editAs="oneCell">
    <xdr:from>
      <xdr:col>3</xdr:col>
      <xdr:colOff>11026</xdr:colOff>
      <xdr:row>1</xdr:row>
      <xdr:rowOff>21317</xdr:rowOff>
    </xdr:from>
    <xdr:to>
      <xdr:col>3</xdr:col>
      <xdr:colOff>248978</xdr:colOff>
      <xdr:row>2</xdr:row>
      <xdr:rowOff>44929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943E4AB-EBC4-42EA-A75B-B72C1A733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976" y="211817"/>
          <a:ext cx="237952" cy="214112"/>
        </a:xfrm>
        <a:prstGeom prst="rect">
          <a:avLst/>
        </a:prstGeom>
      </xdr:spPr>
    </xdr:pic>
    <xdr:clientData/>
  </xdr:twoCellAnchor>
  <xdr:twoCellAnchor editAs="oneCell">
    <xdr:from>
      <xdr:col>1</xdr:col>
      <xdr:colOff>279098</xdr:colOff>
      <xdr:row>14</xdr:row>
      <xdr:rowOff>288954</xdr:rowOff>
    </xdr:from>
    <xdr:to>
      <xdr:col>1</xdr:col>
      <xdr:colOff>420114</xdr:colOff>
      <xdr:row>14</xdr:row>
      <xdr:rowOff>431132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01827FF-94A4-40A0-A18A-030B61E0B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98" y="3298854"/>
          <a:ext cx="141016" cy="142178"/>
        </a:xfrm>
        <a:prstGeom prst="rect">
          <a:avLst/>
        </a:prstGeom>
      </xdr:spPr>
    </xdr:pic>
    <xdr:clientData/>
  </xdr:twoCellAnchor>
  <xdr:twoCellAnchor editAs="oneCell">
    <xdr:from>
      <xdr:col>1</xdr:col>
      <xdr:colOff>273253</xdr:colOff>
      <xdr:row>14</xdr:row>
      <xdr:rowOff>125328</xdr:rowOff>
    </xdr:from>
    <xdr:to>
      <xdr:col>1</xdr:col>
      <xdr:colOff>430908</xdr:colOff>
      <xdr:row>14</xdr:row>
      <xdr:rowOff>284130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15EB9A9F-2AC7-4F8D-A0C8-6193CEFD0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53" y="3135228"/>
          <a:ext cx="157655" cy="158802"/>
        </a:xfrm>
        <a:prstGeom prst="rect">
          <a:avLst/>
        </a:prstGeom>
      </xdr:spPr>
    </xdr:pic>
    <xdr:clientData/>
  </xdr:twoCellAnchor>
  <xdr:twoCellAnchor editAs="oneCell">
    <xdr:from>
      <xdr:col>0</xdr:col>
      <xdr:colOff>62901</xdr:colOff>
      <xdr:row>1</xdr:row>
      <xdr:rowOff>44929</xdr:rowOff>
    </xdr:from>
    <xdr:to>
      <xdr:col>0</xdr:col>
      <xdr:colOff>491526</xdr:colOff>
      <xdr:row>2</xdr:row>
      <xdr:rowOff>284851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BD1CBDCC-D235-42E1-B9F6-315BF2804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1" y="235429"/>
          <a:ext cx="428625" cy="43042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9525</xdr:rowOff>
    </xdr:from>
    <xdr:to>
      <xdr:col>3</xdr:col>
      <xdr:colOff>1104899</xdr:colOff>
      <xdr:row>9</xdr:row>
      <xdr:rowOff>342900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4A752F93-2531-4076-AC2C-B126D8DB4C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762000"/>
              <a:ext cx="3124199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14</xdr:row>
      <xdr:rowOff>7937</xdr:rowOff>
    </xdr:from>
    <xdr:to>
      <xdr:col>4</xdr:col>
      <xdr:colOff>7937</xdr:colOff>
      <xdr:row>14</xdr:row>
      <xdr:rowOff>754063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83055C5-3C62-44B1-879D-40F6042F3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34508</xdr:colOff>
      <xdr:row>0</xdr:row>
      <xdr:rowOff>168195</xdr:rowOff>
    </xdr:from>
    <xdr:to>
      <xdr:col>1</xdr:col>
      <xdr:colOff>377406</xdr:colOff>
      <xdr:row>2</xdr:row>
      <xdr:rowOff>129513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A3263F3-A537-48F4-970F-A261FCD21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08" y="168195"/>
          <a:ext cx="342898" cy="342318"/>
        </a:xfrm>
        <a:prstGeom prst="rect">
          <a:avLst/>
        </a:prstGeom>
      </xdr:spPr>
    </xdr:pic>
    <xdr:clientData/>
  </xdr:twoCellAnchor>
  <xdr:twoCellAnchor editAs="oneCell">
    <xdr:from>
      <xdr:col>3</xdr:col>
      <xdr:colOff>11026</xdr:colOff>
      <xdr:row>1</xdr:row>
      <xdr:rowOff>21317</xdr:rowOff>
    </xdr:from>
    <xdr:to>
      <xdr:col>3</xdr:col>
      <xdr:colOff>248978</xdr:colOff>
      <xdr:row>2</xdr:row>
      <xdr:rowOff>44929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2DD0747-195E-471D-844C-CB3448760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976" y="211817"/>
          <a:ext cx="237952" cy="214112"/>
        </a:xfrm>
        <a:prstGeom prst="rect">
          <a:avLst/>
        </a:prstGeom>
      </xdr:spPr>
    </xdr:pic>
    <xdr:clientData/>
  </xdr:twoCellAnchor>
  <xdr:twoCellAnchor editAs="oneCell">
    <xdr:from>
      <xdr:col>1</xdr:col>
      <xdr:colOff>279098</xdr:colOff>
      <xdr:row>14</xdr:row>
      <xdr:rowOff>288954</xdr:rowOff>
    </xdr:from>
    <xdr:to>
      <xdr:col>1</xdr:col>
      <xdr:colOff>420114</xdr:colOff>
      <xdr:row>14</xdr:row>
      <xdr:rowOff>431132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0039FA8-2CA0-4D4C-AFCA-8802D301B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98" y="3298854"/>
          <a:ext cx="141016" cy="142178"/>
        </a:xfrm>
        <a:prstGeom prst="rect">
          <a:avLst/>
        </a:prstGeom>
      </xdr:spPr>
    </xdr:pic>
    <xdr:clientData/>
  </xdr:twoCellAnchor>
  <xdr:twoCellAnchor editAs="oneCell">
    <xdr:from>
      <xdr:col>1</xdr:col>
      <xdr:colOff>273253</xdr:colOff>
      <xdr:row>14</xdr:row>
      <xdr:rowOff>125328</xdr:rowOff>
    </xdr:from>
    <xdr:to>
      <xdr:col>1</xdr:col>
      <xdr:colOff>430908</xdr:colOff>
      <xdr:row>14</xdr:row>
      <xdr:rowOff>284130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B794D50-71DB-4FF8-9ABB-45A220EC3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53" y="3135228"/>
          <a:ext cx="157655" cy="158802"/>
        </a:xfrm>
        <a:prstGeom prst="rect">
          <a:avLst/>
        </a:prstGeom>
      </xdr:spPr>
    </xdr:pic>
    <xdr:clientData/>
  </xdr:twoCellAnchor>
  <xdr:twoCellAnchor editAs="oneCell">
    <xdr:from>
      <xdr:col>0</xdr:col>
      <xdr:colOff>62901</xdr:colOff>
      <xdr:row>1</xdr:row>
      <xdr:rowOff>44929</xdr:rowOff>
    </xdr:from>
    <xdr:to>
      <xdr:col>0</xdr:col>
      <xdr:colOff>491526</xdr:colOff>
      <xdr:row>2</xdr:row>
      <xdr:rowOff>284851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E40E4431-E2D7-4F8F-AA32-71E02105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1" y="235429"/>
          <a:ext cx="428625" cy="4304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To Do List">
      <a:dk1>
        <a:sysClr val="windowText" lastClr="000000"/>
      </a:dk1>
      <a:lt1>
        <a:sysClr val="window" lastClr="FFFFFF"/>
      </a:lt1>
      <a:dk2>
        <a:srgbClr val="140545"/>
      </a:dk2>
      <a:lt2>
        <a:srgbClr val="FEF2E5"/>
      </a:lt2>
      <a:accent1>
        <a:srgbClr val="EA4193"/>
      </a:accent1>
      <a:accent2>
        <a:srgbClr val="F49129"/>
      </a:accent2>
      <a:accent3>
        <a:srgbClr val="93BF2B"/>
      </a:accent3>
      <a:accent4>
        <a:srgbClr val="31A0C5"/>
      </a:accent4>
      <a:accent5>
        <a:srgbClr val="DEC53B"/>
      </a:accent5>
      <a:accent6>
        <a:srgbClr val="724F97"/>
      </a:accent6>
      <a:hlink>
        <a:srgbClr val="31A0C5"/>
      </a:hlink>
      <a:folHlink>
        <a:srgbClr val="724F97"/>
      </a:folHlink>
    </a:clrScheme>
    <a:fontScheme name="To Do Lis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614F4-090F-44B7-BAE7-193F5D41BCA3}">
  <sheetPr>
    <tabColor theme="4"/>
  </sheetPr>
  <dimension ref="B2:D31"/>
  <sheetViews>
    <sheetView showGridLines="0" topLeftCell="A10" zoomScale="106" zoomScaleNormal="106" workbookViewId="0">
      <selection activeCell="F7" sqref="F7"/>
    </sheetView>
  </sheetViews>
  <sheetFormatPr defaultRowHeight="15" x14ac:dyDescent="0.25"/>
  <cols>
    <col min="2" max="2" width="17" customWidth="1"/>
    <col min="3" max="3" width="13.5703125" customWidth="1"/>
    <col min="4" max="4" width="16.85546875" customWidth="1"/>
  </cols>
  <sheetData>
    <row r="2" spans="2:4" x14ac:dyDescent="0.25">
      <c r="B2" s="4" t="s">
        <v>9</v>
      </c>
      <c r="C2" s="10">
        <f ca="1">TODAY()</f>
        <v>44789</v>
      </c>
      <c r="D2" s="6" t="s">
        <v>10</v>
      </c>
    </row>
    <row r="3" spans="2:4" ht="29.25" customHeight="1" x14ac:dyDescent="0.25">
      <c r="B3" s="5">
        <f>SUMIF(D16:D31,"pago",C16:C31)</f>
        <v>500</v>
      </c>
      <c r="C3" s="11"/>
      <c r="D3" s="7">
        <f>SUMIF(D16:D31,"&lt;&gt;pago",C16:C31)</f>
        <v>425</v>
      </c>
    </row>
    <row r="10" spans="2:4" ht="22.5" customHeight="1" x14ac:dyDescent="0.25"/>
    <row r="11" spans="2:4" ht="9.75" customHeight="1" x14ac:dyDescent="0.25"/>
    <row r="12" spans="2:4" ht="10.5" customHeight="1" x14ac:dyDescent="0.25"/>
    <row r="13" spans="2:4" ht="22.5" customHeight="1" x14ac:dyDescent="0.25">
      <c r="B13" s="9" t="s">
        <v>11</v>
      </c>
      <c r="C13" s="12">
        <v>1500</v>
      </c>
      <c r="D13" s="12"/>
    </row>
    <row r="14" spans="2:4" ht="22.5" customHeight="1" x14ac:dyDescent="0.25">
      <c r="B14" s="9" t="s">
        <v>12</v>
      </c>
      <c r="C14" s="13">
        <f>SUM(C17:C31)</f>
        <v>925</v>
      </c>
      <c r="D14" s="13"/>
    </row>
    <row r="15" spans="2:4" ht="60" customHeight="1" x14ac:dyDescent="0.25"/>
    <row r="16" spans="2:4" ht="29.25" customHeight="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 t="s">
        <v>3</v>
      </c>
      <c r="C17" s="3">
        <v>100</v>
      </c>
      <c r="D17" s="2" t="s">
        <v>9</v>
      </c>
    </row>
    <row r="18" spans="2:4" x14ac:dyDescent="0.25">
      <c r="B18" s="1" t="s">
        <v>4</v>
      </c>
      <c r="C18" s="3">
        <v>100</v>
      </c>
      <c r="D18" s="2" t="s">
        <v>9</v>
      </c>
    </row>
    <row r="19" spans="2:4" x14ac:dyDescent="0.25">
      <c r="B19" s="1" t="s">
        <v>5</v>
      </c>
      <c r="C19" s="3">
        <v>25</v>
      </c>
      <c r="D19" s="2" t="s">
        <v>8</v>
      </c>
    </row>
    <row r="20" spans="2:4" x14ac:dyDescent="0.25">
      <c r="B20" s="1" t="s">
        <v>6</v>
      </c>
      <c r="C20" s="3">
        <v>300</v>
      </c>
      <c r="D20" s="2" t="s">
        <v>9</v>
      </c>
    </row>
    <row r="21" spans="2:4" x14ac:dyDescent="0.25">
      <c r="B21" s="1" t="s">
        <v>7</v>
      </c>
      <c r="C21" s="3">
        <v>400</v>
      </c>
      <c r="D21" s="2" t="s">
        <v>8</v>
      </c>
    </row>
    <row r="22" spans="2:4" x14ac:dyDescent="0.25">
      <c r="B22" s="1"/>
      <c r="C22" s="3"/>
      <c r="D22" s="2" t="s">
        <v>8</v>
      </c>
    </row>
    <row r="23" spans="2:4" x14ac:dyDescent="0.25">
      <c r="B23" s="1"/>
      <c r="C23" s="3"/>
      <c r="D23" s="2" t="s">
        <v>8</v>
      </c>
    </row>
    <row r="24" spans="2:4" x14ac:dyDescent="0.25">
      <c r="B24" s="1"/>
      <c r="C24" s="3"/>
      <c r="D24" s="2" t="s">
        <v>8</v>
      </c>
    </row>
    <row r="25" spans="2:4" x14ac:dyDescent="0.25">
      <c r="B25" s="1"/>
      <c r="C25" s="3"/>
      <c r="D25" s="2" t="s">
        <v>8</v>
      </c>
    </row>
    <row r="26" spans="2:4" x14ac:dyDescent="0.25">
      <c r="B26" s="1"/>
      <c r="C26" s="3"/>
      <c r="D26" s="2" t="s">
        <v>8</v>
      </c>
    </row>
    <row r="27" spans="2:4" x14ac:dyDescent="0.25">
      <c r="B27" s="1"/>
      <c r="C27" s="3"/>
      <c r="D27" s="2" t="s">
        <v>8</v>
      </c>
    </row>
    <row r="28" spans="2:4" x14ac:dyDescent="0.25">
      <c r="B28" s="1"/>
      <c r="C28" s="3"/>
      <c r="D28" s="2" t="s">
        <v>8</v>
      </c>
    </row>
    <row r="29" spans="2:4" x14ac:dyDescent="0.25">
      <c r="B29" s="1"/>
      <c r="C29" s="3"/>
      <c r="D29" s="2" t="s">
        <v>8</v>
      </c>
    </row>
    <row r="30" spans="2:4" x14ac:dyDescent="0.25">
      <c r="B30" s="1"/>
      <c r="C30" s="3"/>
      <c r="D30" s="2" t="s">
        <v>8</v>
      </c>
    </row>
    <row r="31" spans="2:4" x14ac:dyDescent="0.25">
      <c r="B31" s="1"/>
      <c r="C31" s="3"/>
      <c r="D31" s="2" t="s">
        <v>8</v>
      </c>
    </row>
  </sheetData>
  <mergeCells count="3">
    <mergeCell ref="C2:C3"/>
    <mergeCell ref="C13:D13"/>
    <mergeCell ref="C14:D14"/>
  </mergeCells>
  <dataValidations count="1">
    <dataValidation type="list" allowBlank="1" showInputMessage="1" showErrorMessage="1" sqref="D17:D31" xr:uid="{1A92297C-6ED4-46C2-84E0-CADD7F7E8A9F}">
      <formula1>"-,pago"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4C81E-6791-433B-9F5B-E8AD19C33607}">
  <sheetPr>
    <tabColor theme="4"/>
  </sheetPr>
  <dimension ref="B2:D31"/>
  <sheetViews>
    <sheetView showGridLines="0" zoomScale="106" zoomScaleNormal="106" workbookViewId="0">
      <selection activeCell="F7" sqref="F7"/>
    </sheetView>
  </sheetViews>
  <sheetFormatPr defaultRowHeight="15" x14ac:dyDescent="0.25"/>
  <cols>
    <col min="2" max="2" width="17" customWidth="1"/>
    <col min="3" max="3" width="13.5703125" customWidth="1"/>
    <col min="4" max="4" width="16.85546875" customWidth="1"/>
  </cols>
  <sheetData>
    <row r="2" spans="2:4" x14ac:dyDescent="0.25">
      <c r="B2" s="4" t="s">
        <v>9</v>
      </c>
      <c r="C2" s="10">
        <f ca="1">TODAY()</f>
        <v>44789</v>
      </c>
      <c r="D2" s="6" t="s">
        <v>10</v>
      </c>
    </row>
    <row r="3" spans="2:4" ht="29.25" customHeight="1" x14ac:dyDescent="0.25">
      <c r="B3" s="5">
        <f>SUMIF(D16:D31,"pago",C16:C31)</f>
        <v>500</v>
      </c>
      <c r="C3" s="11"/>
      <c r="D3" s="7">
        <f>SUMIF(D16:D31,"&lt;&gt;pago",C16:C31)</f>
        <v>425</v>
      </c>
    </row>
    <row r="10" spans="2:4" ht="22.5" customHeight="1" x14ac:dyDescent="0.25"/>
    <row r="11" spans="2:4" ht="9.75" customHeight="1" x14ac:dyDescent="0.25"/>
    <row r="12" spans="2:4" ht="10.5" customHeight="1" x14ac:dyDescent="0.25"/>
    <row r="13" spans="2:4" ht="22.5" customHeight="1" x14ac:dyDescent="0.25">
      <c r="B13" s="9" t="s">
        <v>11</v>
      </c>
      <c r="C13" s="12">
        <v>1500</v>
      </c>
      <c r="D13" s="12"/>
    </row>
    <row r="14" spans="2:4" ht="22.5" customHeight="1" x14ac:dyDescent="0.25">
      <c r="B14" s="9" t="s">
        <v>12</v>
      </c>
      <c r="C14" s="13">
        <f>SUM(C17:C31)</f>
        <v>925</v>
      </c>
      <c r="D14" s="13"/>
    </row>
    <row r="15" spans="2:4" ht="60" customHeight="1" x14ac:dyDescent="0.25"/>
    <row r="16" spans="2:4" ht="29.25" customHeight="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 t="s">
        <v>3</v>
      </c>
      <c r="C17" s="3">
        <v>100</v>
      </c>
      <c r="D17" s="2" t="s">
        <v>9</v>
      </c>
    </row>
    <row r="18" spans="2:4" x14ac:dyDescent="0.25">
      <c r="B18" s="1" t="s">
        <v>4</v>
      </c>
      <c r="C18" s="3">
        <v>100</v>
      </c>
      <c r="D18" s="2" t="s">
        <v>9</v>
      </c>
    </row>
    <row r="19" spans="2:4" x14ac:dyDescent="0.25">
      <c r="B19" s="1" t="s">
        <v>5</v>
      </c>
      <c r="C19" s="3">
        <v>25</v>
      </c>
      <c r="D19" s="2" t="s">
        <v>8</v>
      </c>
    </row>
    <row r="20" spans="2:4" x14ac:dyDescent="0.25">
      <c r="B20" s="1" t="s">
        <v>6</v>
      </c>
      <c r="C20" s="3">
        <v>300</v>
      </c>
      <c r="D20" s="2" t="s">
        <v>9</v>
      </c>
    </row>
    <row r="21" spans="2:4" x14ac:dyDescent="0.25">
      <c r="B21" s="1" t="s">
        <v>7</v>
      </c>
      <c r="C21" s="3">
        <v>400</v>
      </c>
      <c r="D21" s="2" t="s">
        <v>8</v>
      </c>
    </row>
    <row r="22" spans="2:4" x14ac:dyDescent="0.25">
      <c r="B22" s="1"/>
      <c r="C22" s="3"/>
      <c r="D22" s="2" t="s">
        <v>8</v>
      </c>
    </row>
    <row r="23" spans="2:4" x14ac:dyDescent="0.25">
      <c r="B23" s="1"/>
      <c r="C23" s="3"/>
      <c r="D23" s="2" t="s">
        <v>8</v>
      </c>
    </row>
    <row r="24" spans="2:4" x14ac:dyDescent="0.25">
      <c r="B24" s="1"/>
      <c r="C24" s="3"/>
      <c r="D24" s="2" t="s">
        <v>8</v>
      </c>
    </row>
    <row r="25" spans="2:4" x14ac:dyDescent="0.25">
      <c r="B25" s="1"/>
      <c r="C25" s="3"/>
      <c r="D25" s="2" t="s">
        <v>8</v>
      </c>
    </row>
    <row r="26" spans="2:4" x14ac:dyDescent="0.25">
      <c r="B26" s="1"/>
      <c r="C26" s="3"/>
      <c r="D26" s="2" t="s">
        <v>8</v>
      </c>
    </row>
    <row r="27" spans="2:4" x14ac:dyDescent="0.25">
      <c r="B27" s="1"/>
      <c r="C27" s="3"/>
      <c r="D27" s="2" t="s">
        <v>8</v>
      </c>
    </row>
    <row r="28" spans="2:4" x14ac:dyDescent="0.25">
      <c r="B28" s="1"/>
      <c r="C28" s="3"/>
      <c r="D28" s="2" t="s">
        <v>8</v>
      </c>
    </row>
    <row r="29" spans="2:4" x14ac:dyDescent="0.25">
      <c r="B29" s="1"/>
      <c r="C29" s="3"/>
      <c r="D29" s="2" t="s">
        <v>8</v>
      </c>
    </row>
    <row r="30" spans="2:4" x14ac:dyDescent="0.25">
      <c r="B30" s="1"/>
      <c r="C30" s="3"/>
      <c r="D30" s="2" t="s">
        <v>8</v>
      </c>
    </row>
    <row r="31" spans="2:4" x14ac:dyDescent="0.25">
      <c r="B31" s="1"/>
      <c r="C31" s="3"/>
      <c r="D31" s="2" t="s">
        <v>8</v>
      </c>
    </row>
  </sheetData>
  <mergeCells count="3">
    <mergeCell ref="C2:C3"/>
    <mergeCell ref="C13:D13"/>
    <mergeCell ref="C14:D14"/>
  </mergeCells>
  <dataValidations count="1">
    <dataValidation type="list" allowBlank="1" showInputMessage="1" showErrorMessage="1" sqref="D17:D31" xr:uid="{1C2F6393-9B30-4A75-9682-EE5D143F9C1C}">
      <formula1>"-,pago"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87CDA-7959-4259-8FE0-5F8A5741EC48}">
  <sheetPr>
    <tabColor theme="4"/>
  </sheetPr>
  <dimension ref="B2:D31"/>
  <sheetViews>
    <sheetView showGridLines="0" zoomScale="106" zoomScaleNormal="106" workbookViewId="0">
      <selection activeCell="F7" sqref="F7"/>
    </sheetView>
  </sheetViews>
  <sheetFormatPr defaultRowHeight="15" x14ac:dyDescent="0.25"/>
  <cols>
    <col min="2" max="2" width="17" customWidth="1"/>
    <col min="3" max="3" width="13.5703125" customWidth="1"/>
    <col min="4" max="4" width="16.85546875" customWidth="1"/>
  </cols>
  <sheetData>
    <row r="2" spans="2:4" x14ac:dyDescent="0.25">
      <c r="B2" s="4" t="s">
        <v>9</v>
      </c>
      <c r="C2" s="10">
        <f ca="1">TODAY()</f>
        <v>44789</v>
      </c>
      <c r="D2" s="6" t="s">
        <v>10</v>
      </c>
    </row>
    <row r="3" spans="2:4" ht="29.25" customHeight="1" x14ac:dyDescent="0.25">
      <c r="B3" s="5">
        <f>SUMIF(D16:D31,"pago",C16:C31)</f>
        <v>500</v>
      </c>
      <c r="C3" s="11"/>
      <c r="D3" s="7">
        <f>SUMIF(D16:D31,"&lt;&gt;pago",C16:C31)</f>
        <v>425</v>
      </c>
    </row>
    <row r="10" spans="2:4" ht="22.5" customHeight="1" x14ac:dyDescent="0.25"/>
    <row r="11" spans="2:4" ht="9.75" customHeight="1" x14ac:dyDescent="0.25"/>
    <row r="12" spans="2:4" ht="10.5" customHeight="1" x14ac:dyDescent="0.25"/>
    <row r="13" spans="2:4" ht="22.5" customHeight="1" x14ac:dyDescent="0.25">
      <c r="B13" s="9" t="s">
        <v>11</v>
      </c>
      <c r="C13" s="12">
        <v>1500</v>
      </c>
      <c r="D13" s="12"/>
    </row>
    <row r="14" spans="2:4" ht="22.5" customHeight="1" x14ac:dyDescent="0.25">
      <c r="B14" s="9" t="s">
        <v>12</v>
      </c>
      <c r="C14" s="13">
        <f>SUM(C17:C31)</f>
        <v>925</v>
      </c>
      <c r="D14" s="13"/>
    </row>
    <row r="15" spans="2:4" ht="60" customHeight="1" x14ac:dyDescent="0.25"/>
    <row r="16" spans="2:4" ht="29.25" customHeight="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 t="s">
        <v>3</v>
      </c>
      <c r="C17" s="3">
        <v>100</v>
      </c>
      <c r="D17" s="2" t="s">
        <v>9</v>
      </c>
    </row>
    <row r="18" spans="2:4" x14ac:dyDescent="0.25">
      <c r="B18" s="1" t="s">
        <v>4</v>
      </c>
      <c r="C18" s="3">
        <v>100</v>
      </c>
      <c r="D18" s="2" t="s">
        <v>9</v>
      </c>
    </row>
    <row r="19" spans="2:4" x14ac:dyDescent="0.25">
      <c r="B19" s="1" t="s">
        <v>5</v>
      </c>
      <c r="C19" s="3">
        <v>25</v>
      </c>
      <c r="D19" s="2" t="s">
        <v>8</v>
      </c>
    </row>
    <row r="20" spans="2:4" x14ac:dyDescent="0.25">
      <c r="B20" s="1" t="s">
        <v>6</v>
      </c>
      <c r="C20" s="3">
        <v>300</v>
      </c>
      <c r="D20" s="2" t="s">
        <v>9</v>
      </c>
    </row>
    <row r="21" spans="2:4" x14ac:dyDescent="0.25">
      <c r="B21" s="1" t="s">
        <v>7</v>
      </c>
      <c r="C21" s="3">
        <v>400</v>
      </c>
      <c r="D21" s="2" t="s">
        <v>8</v>
      </c>
    </row>
    <row r="22" spans="2:4" x14ac:dyDescent="0.25">
      <c r="B22" s="1"/>
      <c r="C22" s="3"/>
      <c r="D22" s="2" t="s">
        <v>8</v>
      </c>
    </row>
    <row r="23" spans="2:4" x14ac:dyDescent="0.25">
      <c r="B23" s="1"/>
      <c r="C23" s="3"/>
      <c r="D23" s="2" t="s">
        <v>8</v>
      </c>
    </row>
    <row r="24" spans="2:4" x14ac:dyDescent="0.25">
      <c r="B24" s="1"/>
      <c r="C24" s="3"/>
      <c r="D24" s="2" t="s">
        <v>8</v>
      </c>
    </row>
    <row r="25" spans="2:4" x14ac:dyDescent="0.25">
      <c r="B25" s="1"/>
      <c r="C25" s="3"/>
      <c r="D25" s="2" t="s">
        <v>8</v>
      </c>
    </row>
    <row r="26" spans="2:4" x14ac:dyDescent="0.25">
      <c r="B26" s="1"/>
      <c r="C26" s="3"/>
      <c r="D26" s="2" t="s">
        <v>8</v>
      </c>
    </row>
    <row r="27" spans="2:4" x14ac:dyDescent="0.25">
      <c r="B27" s="1"/>
      <c r="C27" s="3"/>
      <c r="D27" s="2" t="s">
        <v>8</v>
      </c>
    </row>
    <row r="28" spans="2:4" x14ac:dyDescent="0.25">
      <c r="B28" s="1"/>
      <c r="C28" s="3"/>
      <c r="D28" s="2" t="s">
        <v>8</v>
      </c>
    </row>
    <row r="29" spans="2:4" x14ac:dyDescent="0.25">
      <c r="B29" s="1"/>
      <c r="C29" s="3"/>
      <c r="D29" s="2" t="s">
        <v>8</v>
      </c>
    </row>
    <row r="30" spans="2:4" x14ac:dyDescent="0.25">
      <c r="B30" s="1"/>
      <c r="C30" s="3"/>
      <c r="D30" s="2" t="s">
        <v>8</v>
      </c>
    </row>
    <row r="31" spans="2:4" x14ac:dyDescent="0.25">
      <c r="B31" s="1"/>
      <c r="C31" s="3"/>
      <c r="D31" s="2" t="s">
        <v>8</v>
      </c>
    </row>
  </sheetData>
  <mergeCells count="3">
    <mergeCell ref="C2:C3"/>
    <mergeCell ref="C13:D13"/>
    <mergeCell ref="C14:D14"/>
  </mergeCells>
  <dataValidations count="1">
    <dataValidation type="list" allowBlank="1" showInputMessage="1" showErrorMessage="1" sqref="D17:D31" xr:uid="{36CC1FFA-EE96-495E-BC76-9E37AE7B9933}">
      <formula1>"-,pago"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B9DD5-A8DA-46E6-9E0B-620985010A63}">
  <sheetPr>
    <tabColor theme="4"/>
  </sheetPr>
  <dimension ref="B2:D31"/>
  <sheetViews>
    <sheetView showGridLines="0" zoomScale="106" zoomScaleNormal="106" workbookViewId="0">
      <selection activeCell="F7" sqref="F7"/>
    </sheetView>
  </sheetViews>
  <sheetFormatPr defaultRowHeight="15" x14ac:dyDescent="0.25"/>
  <cols>
    <col min="2" max="2" width="17" customWidth="1"/>
    <col min="3" max="3" width="13.5703125" customWidth="1"/>
    <col min="4" max="4" width="16.85546875" customWidth="1"/>
  </cols>
  <sheetData>
    <row r="2" spans="2:4" x14ac:dyDescent="0.25">
      <c r="B2" s="4" t="s">
        <v>9</v>
      </c>
      <c r="C2" s="10">
        <f ca="1">TODAY()</f>
        <v>44789</v>
      </c>
      <c r="D2" s="6" t="s">
        <v>10</v>
      </c>
    </row>
    <row r="3" spans="2:4" ht="29.25" customHeight="1" x14ac:dyDescent="0.25">
      <c r="B3" s="5">
        <f>SUMIF(D16:D31,"pago",C16:C31)</f>
        <v>500</v>
      </c>
      <c r="C3" s="11"/>
      <c r="D3" s="7">
        <f>SUMIF(D16:D31,"&lt;&gt;pago",C16:C31)</f>
        <v>425</v>
      </c>
    </row>
    <row r="10" spans="2:4" ht="22.5" customHeight="1" x14ac:dyDescent="0.25"/>
    <row r="11" spans="2:4" ht="9.75" customHeight="1" x14ac:dyDescent="0.25"/>
    <row r="12" spans="2:4" ht="10.5" customHeight="1" x14ac:dyDescent="0.25"/>
    <row r="13" spans="2:4" ht="22.5" customHeight="1" x14ac:dyDescent="0.25">
      <c r="B13" s="9" t="s">
        <v>11</v>
      </c>
      <c r="C13" s="12">
        <v>1500</v>
      </c>
      <c r="D13" s="12"/>
    </row>
    <row r="14" spans="2:4" ht="22.5" customHeight="1" x14ac:dyDescent="0.25">
      <c r="B14" s="9" t="s">
        <v>12</v>
      </c>
      <c r="C14" s="13">
        <f>SUM(C17:C31)</f>
        <v>925</v>
      </c>
      <c r="D14" s="13"/>
    </row>
    <row r="15" spans="2:4" ht="60" customHeight="1" x14ac:dyDescent="0.25"/>
    <row r="16" spans="2:4" ht="29.25" customHeight="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 t="s">
        <v>3</v>
      </c>
      <c r="C17" s="3">
        <v>100</v>
      </c>
      <c r="D17" s="2" t="s">
        <v>9</v>
      </c>
    </row>
    <row r="18" spans="2:4" x14ac:dyDescent="0.25">
      <c r="B18" s="1" t="s">
        <v>4</v>
      </c>
      <c r="C18" s="3">
        <v>100</v>
      </c>
      <c r="D18" s="2" t="s">
        <v>9</v>
      </c>
    </row>
    <row r="19" spans="2:4" x14ac:dyDescent="0.25">
      <c r="B19" s="1" t="s">
        <v>5</v>
      </c>
      <c r="C19" s="3">
        <v>25</v>
      </c>
      <c r="D19" s="2" t="s">
        <v>8</v>
      </c>
    </row>
    <row r="20" spans="2:4" x14ac:dyDescent="0.25">
      <c r="B20" s="1" t="s">
        <v>6</v>
      </c>
      <c r="C20" s="3">
        <v>300</v>
      </c>
      <c r="D20" s="2" t="s">
        <v>9</v>
      </c>
    </row>
    <row r="21" spans="2:4" x14ac:dyDescent="0.25">
      <c r="B21" s="1" t="s">
        <v>7</v>
      </c>
      <c r="C21" s="3">
        <v>400</v>
      </c>
      <c r="D21" s="2" t="s">
        <v>8</v>
      </c>
    </row>
    <row r="22" spans="2:4" x14ac:dyDescent="0.25">
      <c r="B22" s="1"/>
      <c r="C22" s="3"/>
      <c r="D22" s="2" t="s">
        <v>8</v>
      </c>
    </row>
    <row r="23" spans="2:4" x14ac:dyDescent="0.25">
      <c r="B23" s="1"/>
      <c r="C23" s="3"/>
      <c r="D23" s="2" t="s">
        <v>8</v>
      </c>
    </row>
    <row r="24" spans="2:4" x14ac:dyDescent="0.25">
      <c r="B24" s="1"/>
      <c r="C24" s="3"/>
      <c r="D24" s="2" t="s">
        <v>8</v>
      </c>
    </row>
    <row r="25" spans="2:4" x14ac:dyDescent="0.25">
      <c r="B25" s="1"/>
      <c r="C25" s="3"/>
      <c r="D25" s="2" t="s">
        <v>8</v>
      </c>
    </row>
    <row r="26" spans="2:4" x14ac:dyDescent="0.25">
      <c r="B26" s="1"/>
      <c r="C26" s="3"/>
      <c r="D26" s="2" t="s">
        <v>8</v>
      </c>
    </row>
    <row r="27" spans="2:4" x14ac:dyDescent="0.25">
      <c r="B27" s="1"/>
      <c r="C27" s="3"/>
      <c r="D27" s="2" t="s">
        <v>8</v>
      </c>
    </row>
    <row r="28" spans="2:4" x14ac:dyDescent="0.25">
      <c r="B28" s="1"/>
      <c r="C28" s="3"/>
      <c r="D28" s="2" t="s">
        <v>8</v>
      </c>
    </row>
    <row r="29" spans="2:4" x14ac:dyDescent="0.25">
      <c r="B29" s="1"/>
      <c r="C29" s="3"/>
      <c r="D29" s="2" t="s">
        <v>8</v>
      </c>
    </row>
    <row r="30" spans="2:4" x14ac:dyDescent="0.25">
      <c r="B30" s="1"/>
      <c r="C30" s="3"/>
      <c r="D30" s="2" t="s">
        <v>8</v>
      </c>
    </row>
    <row r="31" spans="2:4" x14ac:dyDescent="0.25">
      <c r="B31" s="1"/>
      <c r="C31" s="3"/>
      <c r="D31" s="2" t="s">
        <v>8</v>
      </c>
    </row>
  </sheetData>
  <mergeCells count="3">
    <mergeCell ref="C2:C3"/>
    <mergeCell ref="C13:D13"/>
    <mergeCell ref="C14:D14"/>
  </mergeCells>
  <dataValidations count="1">
    <dataValidation type="list" allowBlank="1" showInputMessage="1" showErrorMessage="1" sqref="D17:D31" xr:uid="{697CCD9E-AF3E-43B5-821E-3178CC7FC736}">
      <formula1>"-,pago"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9D81C-CEBA-413A-A3EF-A91D12C07EA5}">
  <sheetPr>
    <tabColor theme="4"/>
  </sheetPr>
  <dimension ref="B2:D31"/>
  <sheetViews>
    <sheetView showGridLines="0" zoomScale="106" zoomScaleNormal="106" workbookViewId="0">
      <selection activeCell="F7" sqref="F7"/>
    </sheetView>
  </sheetViews>
  <sheetFormatPr defaultRowHeight="15" x14ac:dyDescent="0.25"/>
  <cols>
    <col min="2" max="2" width="17" customWidth="1"/>
    <col min="3" max="3" width="13.5703125" customWidth="1"/>
    <col min="4" max="4" width="16.85546875" customWidth="1"/>
  </cols>
  <sheetData>
    <row r="2" spans="2:4" x14ac:dyDescent="0.25">
      <c r="B2" s="4" t="s">
        <v>9</v>
      </c>
      <c r="C2" s="10">
        <f ca="1">TODAY()</f>
        <v>44789</v>
      </c>
      <c r="D2" s="6" t="s">
        <v>10</v>
      </c>
    </row>
    <row r="3" spans="2:4" ht="29.25" customHeight="1" x14ac:dyDescent="0.25">
      <c r="B3" s="5">
        <f>SUMIF(D16:D31,"pago",C16:C31)</f>
        <v>500</v>
      </c>
      <c r="C3" s="11"/>
      <c r="D3" s="7">
        <f>SUMIF(D16:D31,"&lt;&gt;pago",C16:C31)</f>
        <v>425</v>
      </c>
    </row>
    <row r="10" spans="2:4" ht="22.5" customHeight="1" x14ac:dyDescent="0.25"/>
    <row r="11" spans="2:4" ht="9.75" customHeight="1" x14ac:dyDescent="0.25"/>
    <row r="12" spans="2:4" ht="10.5" customHeight="1" x14ac:dyDescent="0.25"/>
    <row r="13" spans="2:4" ht="22.5" customHeight="1" x14ac:dyDescent="0.25">
      <c r="B13" s="9" t="s">
        <v>11</v>
      </c>
      <c r="C13" s="12">
        <v>1500</v>
      </c>
      <c r="D13" s="12"/>
    </row>
    <row r="14" spans="2:4" ht="22.5" customHeight="1" x14ac:dyDescent="0.25">
      <c r="B14" s="9" t="s">
        <v>12</v>
      </c>
      <c r="C14" s="13">
        <f>SUM(C17:C31)</f>
        <v>925</v>
      </c>
      <c r="D14" s="13"/>
    </row>
    <row r="15" spans="2:4" ht="60" customHeight="1" x14ac:dyDescent="0.25"/>
    <row r="16" spans="2:4" ht="29.25" customHeight="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 t="s">
        <v>3</v>
      </c>
      <c r="C17" s="3">
        <v>100</v>
      </c>
      <c r="D17" s="2" t="s">
        <v>9</v>
      </c>
    </row>
    <row r="18" spans="2:4" x14ac:dyDescent="0.25">
      <c r="B18" s="1" t="s">
        <v>4</v>
      </c>
      <c r="C18" s="3">
        <v>100</v>
      </c>
      <c r="D18" s="2" t="s">
        <v>9</v>
      </c>
    </row>
    <row r="19" spans="2:4" x14ac:dyDescent="0.25">
      <c r="B19" s="1" t="s">
        <v>5</v>
      </c>
      <c r="C19" s="3">
        <v>25</v>
      </c>
      <c r="D19" s="2" t="s">
        <v>8</v>
      </c>
    </row>
    <row r="20" spans="2:4" x14ac:dyDescent="0.25">
      <c r="B20" s="1" t="s">
        <v>6</v>
      </c>
      <c r="C20" s="3">
        <v>300</v>
      </c>
      <c r="D20" s="2" t="s">
        <v>9</v>
      </c>
    </row>
    <row r="21" spans="2:4" x14ac:dyDescent="0.25">
      <c r="B21" s="1" t="s">
        <v>7</v>
      </c>
      <c r="C21" s="3">
        <v>400</v>
      </c>
      <c r="D21" s="2" t="s">
        <v>8</v>
      </c>
    </row>
    <row r="22" spans="2:4" x14ac:dyDescent="0.25">
      <c r="B22" s="1"/>
      <c r="C22" s="3"/>
      <c r="D22" s="2" t="s">
        <v>8</v>
      </c>
    </row>
    <row r="23" spans="2:4" x14ac:dyDescent="0.25">
      <c r="B23" s="1"/>
      <c r="C23" s="3"/>
      <c r="D23" s="2" t="s">
        <v>8</v>
      </c>
    </row>
    <row r="24" spans="2:4" x14ac:dyDescent="0.25">
      <c r="B24" s="1"/>
      <c r="C24" s="3"/>
      <c r="D24" s="2" t="s">
        <v>8</v>
      </c>
    </row>
    <row r="25" spans="2:4" x14ac:dyDescent="0.25">
      <c r="B25" s="1"/>
      <c r="C25" s="3"/>
      <c r="D25" s="2" t="s">
        <v>8</v>
      </c>
    </row>
    <row r="26" spans="2:4" x14ac:dyDescent="0.25">
      <c r="B26" s="1"/>
      <c r="C26" s="3"/>
      <c r="D26" s="2" t="s">
        <v>8</v>
      </c>
    </row>
    <row r="27" spans="2:4" x14ac:dyDescent="0.25">
      <c r="B27" s="1"/>
      <c r="C27" s="3"/>
      <c r="D27" s="2" t="s">
        <v>8</v>
      </c>
    </row>
    <row r="28" spans="2:4" x14ac:dyDescent="0.25">
      <c r="B28" s="1"/>
      <c r="C28" s="3"/>
      <c r="D28" s="2" t="s">
        <v>8</v>
      </c>
    </row>
    <row r="29" spans="2:4" x14ac:dyDescent="0.25">
      <c r="B29" s="1"/>
      <c r="C29" s="3"/>
      <c r="D29" s="2" t="s">
        <v>8</v>
      </c>
    </row>
    <row r="30" spans="2:4" x14ac:dyDescent="0.25">
      <c r="B30" s="1"/>
      <c r="C30" s="3"/>
      <c r="D30" s="2" t="s">
        <v>8</v>
      </c>
    </row>
    <row r="31" spans="2:4" x14ac:dyDescent="0.25">
      <c r="B31" s="1"/>
      <c r="C31" s="3"/>
      <c r="D31" s="2" t="s">
        <v>8</v>
      </c>
    </row>
  </sheetData>
  <mergeCells count="3">
    <mergeCell ref="C2:C3"/>
    <mergeCell ref="C13:D13"/>
    <mergeCell ref="C14:D14"/>
  </mergeCells>
  <dataValidations count="1">
    <dataValidation type="list" allowBlank="1" showInputMessage="1" showErrorMessage="1" sqref="D17:D31" xr:uid="{5905459A-6380-47C4-9CC3-F6ED730EF9B4}">
      <formula1>"-,pago"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1C298-F485-4040-96D6-F98DA8B6372F}">
  <sheetPr>
    <tabColor theme="4"/>
  </sheetPr>
  <dimension ref="B2:D31"/>
  <sheetViews>
    <sheetView showGridLines="0" zoomScale="106" zoomScaleNormal="106" workbookViewId="0">
      <selection activeCell="F7" sqref="F7"/>
    </sheetView>
  </sheetViews>
  <sheetFormatPr defaultRowHeight="15" x14ac:dyDescent="0.25"/>
  <cols>
    <col min="2" max="2" width="17" customWidth="1"/>
    <col min="3" max="3" width="13.5703125" customWidth="1"/>
    <col min="4" max="4" width="16.85546875" customWidth="1"/>
  </cols>
  <sheetData>
    <row r="2" spans="2:4" x14ac:dyDescent="0.25">
      <c r="B2" s="4" t="s">
        <v>9</v>
      </c>
      <c r="C2" s="10">
        <f ca="1">TODAY()</f>
        <v>44789</v>
      </c>
      <c r="D2" s="6" t="s">
        <v>10</v>
      </c>
    </row>
    <row r="3" spans="2:4" ht="29.25" customHeight="1" x14ac:dyDescent="0.25">
      <c r="B3" s="5">
        <f>SUMIF(D16:D31,"pago",C16:C31)</f>
        <v>500</v>
      </c>
      <c r="C3" s="11"/>
      <c r="D3" s="7">
        <f>SUMIF(D16:D31,"&lt;&gt;pago",C16:C31)</f>
        <v>425</v>
      </c>
    </row>
    <row r="10" spans="2:4" ht="22.5" customHeight="1" x14ac:dyDescent="0.25"/>
    <row r="11" spans="2:4" ht="9.75" customHeight="1" x14ac:dyDescent="0.25"/>
    <row r="12" spans="2:4" ht="10.5" customHeight="1" x14ac:dyDescent="0.25"/>
    <row r="13" spans="2:4" ht="22.5" customHeight="1" x14ac:dyDescent="0.25">
      <c r="B13" s="9" t="s">
        <v>11</v>
      </c>
      <c r="C13" s="12">
        <v>1500</v>
      </c>
      <c r="D13" s="12"/>
    </row>
    <row r="14" spans="2:4" ht="22.5" customHeight="1" x14ac:dyDescent="0.25">
      <c r="B14" s="9" t="s">
        <v>12</v>
      </c>
      <c r="C14" s="13">
        <f>SUM(C17:C31)</f>
        <v>925</v>
      </c>
      <c r="D14" s="13"/>
    </row>
    <row r="15" spans="2:4" ht="60" customHeight="1" x14ac:dyDescent="0.25"/>
    <row r="16" spans="2:4" ht="29.25" customHeight="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 t="s">
        <v>3</v>
      </c>
      <c r="C17" s="3">
        <v>100</v>
      </c>
      <c r="D17" s="2" t="s">
        <v>9</v>
      </c>
    </row>
    <row r="18" spans="2:4" x14ac:dyDescent="0.25">
      <c r="B18" s="1" t="s">
        <v>4</v>
      </c>
      <c r="C18" s="3">
        <v>100</v>
      </c>
      <c r="D18" s="2" t="s">
        <v>9</v>
      </c>
    </row>
    <row r="19" spans="2:4" x14ac:dyDescent="0.25">
      <c r="B19" s="1" t="s">
        <v>5</v>
      </c>
      <c r="C19" s="3">
        <v>25</v>
      </c>
      <c r="D19" s="2" t="s">
        <v>8</v>
      </c>
    </row>
    <row r="20" spans="2:4" x14ac:dyDescent="0.25">
      <c r="B20" s="1" t="s">
        <v>6</v>
      </c>
      <c r="C20" s="3">
        <v>300</v>
      </c>
      <c r="D20" s="2" t="s">
        <v>9</v>
      </c>
    </row>
    <row r="21" spans="2:4" x14ac:dyDescent="0.25">
      <c r="B21" s="1" t="s">
        <v>7</v>
      </c>
      <c r="C21" s="3">
        <v>400</v>
      </c>
      <c r="D21" s="2" t="s">
        <v>8</v>
      </c>
    </row>
    <row r="22" spans="2:4" x14ac:dyDescent="0.25">
      <c r="B22" s="1"/>
      <c r="C22" s="3"/>
      <c r="D22" s="2" t="s">
        <v>8</v>
      </c>
    </row>
    <row r="23" spans="2:4" x14ac:dyDescent="0.25">
      <c r="B23" s="1"/>
      <c r="C23" s="3"/>
      <c r="D23" s="2" t="s">
        <v>8</v>
      </c>
    </row>
    <row r="24" spans="2:4" x14ac:dyDescent="0.25">
      <c r="B24" s="1"/>
      <c r="C24" s="3"/>
      <c r="D24" s="2" t="s">
        <v>8</v>
      </c>
    </row>
    <row r="25" spans="2:4" x14ac:dyDescent="0.25">
      <c r="B25" s="1"/>
      <c r="C25" s="3"/>
      <c r="D25" s="2" t="s">
        <v>8</v>
      </c>
    </row>
    <row r="26" spans="2:4" x14ac:dyDescent="0.25">
      <c r="B26" s="1"/>
      <c r="C26" s="3"/>
      <c r="D26" s="2" t="s">
        <v>8</v>
      </c>
    </row>
    <row r="27" spans="2:4" x14ac:dyDescent="0.25">
      <c r="B27" s="1"/>
      <c r="C27" s="3"/>
      <c r="D27" s="2" t="s">
        <v>8</v>
      </c>
    </row>
    <row r="28" spans="2:4" x14ac:dyDescent="0.25">
      <c r="B28" s="1"/>
      <c r="C28" s="3"/>
      <c r="D28" s="2" t="s">
        <v>8</v>
      </c>
    </row>
    <row r="29" spans="2:4" x14ac:dyDescent="0.25">
      <c r="B29" s="1"/>
      <c r="C29" s="3"/>
      <c r="D29" s="2" t="s">
        <v>8</v>
      </c>
    </row>
    <row r="30" spans="2:4" x14ac:dyDescent="0.25">
      <c r="B30" s="1"/>
      <c r="C30" s="3"/>
      <c r="D30" s="2" t="s">
        <v>8</v>
      </c>
    </row>
    <row r="31" spans="2:4" x14ac:dyDescent="0.25">
      <c r="B31" s="1"/>
      <c r="C31" s="3"/>
      <c r="D31" s="2" t="s">
        <v>8</v>
      </c>
    </row>
  </sheetData>
  <mergeCells count="3">
    <mergeCell ref="C2:C3"/>
    <mergeCell ref="C13:D13"/>
    <mergeCell ref="C14:D14"/>
  </mergeCells>
  <dataValidations count="1">
    <dataValidation type="list" allowBlank="1" showInputMessage="1" showErrorMessage="1" sqref="D17:D31" xr:uid="{1533961E-9D5C-42D2-8CC7-CC46739402BC}">
      <formula1>"-,pago"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9CE30-6B69-42E7-B879-565A367C0E90}">
  <sheetPr>
    <tabColor theme="4"/>
  </sheetPr>
  <dimension ref="B2:D31"/>
  <sheetViews>
    <sheetView showGridLines="0" zoomScale="106" zoomScaleNormal="106" workbookViewId="0">
      <selection activeCell="F7" sqref="F7"/>
    </sheetView>
  </sheetViews>
  <sheetFormatPr defaultRowHeight="15" x14ac:dyDescent="0.25"/>
  <cols>
    <col min="2" max="2" width="17" customWidth="1"/>
    <col min="3" max="3" width="13.5703125" customWidth="1"/>
    <col min="4" max="4" width="16.85546875" customWidth="1"/>
  </cols>
  <sheetData>
    <row r="2" spans="2:4" x14ac:dyDescent="0.25">
      <c r="B2" s="4" t="s">
        <v>9</v>
      </c>
      <c r="C2" s="10">
        <f ca="1">TODAY()</f>
        <v>44789</v>
      </c>
      <c r="D2" s="6" t="s">
        <v>10</v>
      </c>
    </row>
    <row r="3" spans="2:4" ht="29.25" customHeight="1" x14ac:dyDescent="0.25">
      <c r="B3" s="5">
        <f>SUMIF(D16:D31,"pago",C16:C31)</f>
        <v>500</v>
      </c>
      <c r="C3" s="11"/>
      <c r="D3" s="7">
        <f>SUMIF(D16:D31,"&lt;&gt;pago",C16:C31)</f>
        <v>425</v>
      </c>
    </row>
    <row r="10" spans="2:4" ht="22.5" customHeight="1" x14ac:dyDescent="0.25"/>
    <row r="11" spans="2:4" ht="9.75" customHeight="1" x14ac:dyDescent="0.25"/>
    <row r="12" spans="2:4" ht="10.5" customHeight="1" x14ac:dyDescent="0.25"/>
    <row r="13" spans="2:4" ht="22.5" customHeight="1" x14ac:dyDescent="0.25">
      <c r="B13" s="9" t="s">
        <v>11</v>
      </c>
      <c r="C13" s="12">
        <v>1500</v>
      </c>
      <c r="D13" s="12"/>
    </row>
    <row r="14" spans="2:4" ht="22.5" customHeight="1" x14ac:dyDescent="0.25">
      <c r="B14" s="9" t="s">
        <v>12</v>
      </c>
      <c r="C14" s="13">
        <f>SUM(C17:C31)</f>
        <v>925</v>
      </c>
      <c r="D14" s="13"/>
    </row>
    <row r="15" spans="2:4" ht="60" customHeight="1" x14ac:dyDescent="0.25"/>
    <row r="16" spans="2:4" ht="29.25" customHeight="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 t="s">
        <v>3</v>
      </c>
      <c r="C17" s="3">
        <v>100</v>
      </c>
      <c r="D17" s="2" t="s">
        <v>9</v>
      </c>
    </row>
    <row r="18" spans="2:4" x14ac:dyDescent="0.25">
      <c r="B18" s="1" t="s">
        <v>4</v>
      </c>
      <c r="C18" s="3">
        <v>100</v>
      </c>
      <c r="D18" s="2" t="s">
        <v>9</v>
      </c>
    </row>
    <row r="19" spans="2:4" x14ac:dyDescent="0.25">
      <c r="B19" s="1" t="s">
        <v>5</v>
      </c>
      <c r="C19" s="3">
        <v>25</v>
      </c>
      <c r="D19" s="2" t="s">
        <v>8</v>
      </c>
    </row>
    <row r="20" spans="2:4" x14ac:dyDescent="0.25">
      <c r="B20" s="1" t="s">
        <v>6</v>
      </c>
      <c r="C20" s="3">
        <v>300</v>
      </c>
      <c r="D20" s="2" t="s">
        <v>9</v>
      </c>
    </row>
    <row r="21" spans="2:4" x14ac:dyDescent="0.25">
      <c r="B21" s="1" t="s">
        <v>7</v>
      </c>
      <c r="C21" s="3">
        <v>400</v>
      </c>
      <c r="D21" s="2" t="s">
        <v>8</v>
      </c>
    </row>
    <row r="22" spans="2:4" x14ac:dyDescent="0.25">
      <c r="B22" s="1"/>
      <c r="C22" s="3"/>
      <c r="D22" s="2" t="s">
        <v>8</v>
      </c>
    </row>
    <row r="23" spans="2:4" x14ac:dyDescent="0.25">
      <c r="B23" s="1"/>
      <c r="C23" s="3"/>
      <c r="D23" s="2" t="s">
        <v>8</v>
      </c>
    </row>
    <row r="24" spans="2:4" x14ac:dyDescent="0.25">
      <c r="B24" s="1"/>
      <c r="C24" s="3"/>
      <c r="D24" s="2" t="s">
        <v>8</v>
      </c>
    </row>
    <row r="25" spans="2:4" x14ac:dyDescent="0.25">
      <c r="B25" s="1"/>
      <c r="C25" s="3"/>
      <c r="D25" s="2" t="s">
        <v>8</v>
      </c>
    </row>
    <row r="26" spans="2:4" x14ac:dyDescent="0.25">
      <c r="B26" s="1"/>
      <c r="C26" s="3"/>
      <c r="D26" s="2" t="s">
        <v>8</v>
      </c>
    </row>
    <row r="27" spans="2:4" x14ac:dyDescent="0.25">
      <c r="B27" s="1"/>
      <c r="C27" s="3"/>
      <c r="D27" s="2" t="s">
        <v>8</v>
      </c>
    </row>
    <row r="28" spans="2:4" x14ac:dyDescent="0.25">
      <c r="B28" s="1"/>
      <c r="C28" s="3"/>
      <c r="D28" s="2" t="s">
        <v>8</v>
      </c>
    </row>
    <row r="29" spans="2:4" x14ac:dyDescent="0.25">
      <c r="B29" s="1"/>
      <c r="C29" s="3"/>
      <c r="D29" s="2" t="s">
        <v>8</v>
      </c>
    </row>
    <row r="30" spans="2:4" x14ac:dyDescent="0.25">
      <c r="B30" s="1"/>
      <c r="C30" s="3"/>
      <c r="D30" s="2" t="s">
        <v>8</v>
      </c>
    </row>
    <row r="31" spans="2:4" x14ac:dyDescent="0.25">
      <c r="B31" s="1"/>
      <c r="C31" s="3"/>
      <c r="D31" s="2" t="s">
        <v>8</v>
      </c>
    </row>
  </sheetData>
  <mergeCells count="3">
    <mergeCell ref="C2:C3"/>
    <mergeCell ref="C13:D13"/>
    <mergeCell ref="C14:D14"/>
  </mergeCells>
  <dataValidations count="1">
    <dataValidation type="list" allowBlank="1" showInputMessage="1" showErrorMessage="1" sqref="D17:D31" xr:uid="{8B1C3FDA-DBE1-4F2F-B145-20F18177B084}">
      <formula1>"-,pago"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D52CC-D1E7-42A4-AB62-92364BEC3D3A}">
  <sheetPr>
    <tabColor theme="4"/>
  </sheetPr>
  <dimension ref="B2:D31"/>
  <sheetViews>
    <sheetView showGridLines="0" zoomScale="106" zoomScaleNormal="106" workbookViewId="0">
      <selection activeCell="F7" sqref="F7"/>
    </sheetView>
  </sheetViews>
  <sheetFormatPr defaultRowHeight="15" x14ac:dyDescent="0.25"/>
  <cols>
    <col min="2" max="2" width="17" customWidth="1"/>
    <col min="3" max="3" width="13.5703125" customWidth="1"/>
    <col min="4" max="4" width="16.85546875" customWidth="1"/>
  </cols>
  <sheetData>
    <row r="2" spans="2:4" x14ac:dyDescent="0.25">
      <c r="B2" s="4" t="s">
        <v>9</v>
      </c>
      <c r="C2" s="10">
        <f ca="1">TODAY()</f>
        <v>44789</v>
      </c>
      <c r="D2" s="6" t="s">
        <v>10</v>
      </c>
    </row>
    <row r="3" spans="2:4" ht="29.25" customHeight="1" x14ac:dyDescent="0.25">
      <c r="B3" s="5">
        <f>SUMIF(D16:D31,"pago",C16:C31)</f>
        <v>500</v>
      </c>
      <c r="C3" s="11"/>
      <c r="D3" s="7">
        <f>SUMIF(D16:D31,"&lt;&gt;pago",C16:C31)</f>
        <v>425</v>
      </c>
    </row>
    <row r="10" spans="2:4" ht="22.5" customHeight="1" x14ac:dyDescent="0.25"/>
    <row r="11" spans="2:4" ht="9.75" customHeight="1" x14ac:dyDescent="0.25"/>
    <row r="12" spans="2:4" ht="10.5" customHeight="1" x14ac:dyDescent="0.25"/>
    <row r="13" spans="2:4" ht="22.5" customHeight="1" x14ac:dyDescent="0.25">
      <c r="B13" s="9" t="s">
        <v>11</v>
      </c>
      <c r="C13" s="12">
        <v>1500</v>
      </c>
      <c r="D13" s="12"/>
    </row>
    <row r="14" spans="2:4" ht="22.5" customHeight="1" x14ac:dyDescent="0.25">
      <c r="B14" s="9" t="s">
        <v>12</v>
      </c>
      <c r="C14" s="13">
        <f>SUM(C17:C31)</f>
        <v>925</v>
      </c>
      <c r="D14" s="13"/>
    </row>
    <row r="15" spans="2:4" ht="60" customHeight="1" x14ac:dyDescent="0.25"/>
    <row r="16" spans="2:4" ht="29.25" customHeight="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 t="s">
        <v>3</v>
      </c>
      <c r="C17" s="3">
        <v>100</v>
      </c>
      <c r="D17" s="2" t="s">
        <v>9</v>
      </c>
    </row>
    <row r="18" spans="2:4" x14ac:dyDescent="0.25">
      <c r="B18" s="1" t="s">
        <v>4</v>
      </c>
      <c r="C18" s="3">
        <v>100</v>
      </c>
      <c r="D18" s="2" t="s">
        <v>9</v>
      </c>
    </row>
    <row r="19" spans="2:4" x14ac:dyDescent="0.25">
      <c r="B19" s="1" t="s">
        <v>5</v>
      </c>
      <c r="C19" s="3">
        <v>25</v>
      </c>
      <c r="D19" s="2" t="s">
        <v>8</v>
      </c>
    </row>
    <row r="20" spans="2:4" x14ac:dyDescent="0.25">
      <c r="B20" s="1" t="s">
        <v>6</v>
      </c>
      <c r="C20" s="3">
        <v>300</v>
      </c>
      <c r="D20" s="2" t="s">
        <v>9</v>
      </c>
    </row>
    <row r="21" spans="2:4" x14ac:dyDescent="0.25">
      <c r="B21" s="1" t="s">
        <v>7</v>
      </c>
      <c r="C21" s="3">
        <v>400</v>
      </c>
      <c r="D21" s="2" t="s">
        <v>8</v>
      </c>
    </row>
    <row r="22" spans="2:4" x14ac:dyDescent="0.25">
      <c r="B22" s="1"/>
      <c r="C22" s="3"/>
      <c r="D22" s="2" t="s">
        <v>8</v>
      </c>
    </row>
    <row r="23" spans="2:4" x14ac:dyDescent="0.25">
      <c r="B23" s="1"/>
      <c r="C23" s="3"/>
      <c r="D23" s="2" t="s">
        <v>8</v>
      </c>
    </row>
    <row r="24" spans="2:4" x14ac:dyDescent="0.25">
      <c r="B24" s="1"/>
      <c r="C24" s="3"/>
      <c r="D24" s="2" t="s">
        <v>8</v>
      </c>
    </row>
    <row r="25" spans="2:4" x14ac:dyDescent="0.25">
      <c r="B25" s="1"/>
      <c r="C25" s="3"/>
      <c r="D25" s="2" t="s">
        <v>8</v>
      </c>
    </row>
    <row r="26" spans="2:4" x14ac:dyDescent="0.25">
      <c r="B26" s="1"/>
      <c r="C26" s="3"/>
      <c r="D26" s="2" t="s">
        <v>8</v>
      </c>
    </row>
    <row r="27" spans="2:4" x14ac:dyDescent="0.25">
      <c r="B27" s="1"/>
      <c r="C27" s="3"/>
      <c r="D27" s="2" t="s">
        <v>8</v>
      </c>
    </row>
    <row r="28" spans="2:4" x14ac:dyDescent="0.25">
      <c r="B28" s="1"/>
      <c r="C28" s="3"/>
      <c r="D28" s="2" t="s">
        <v>8</v>
      </c>
    </row>
    <row r="29" spans="2:4" x14ac:dyDescent="0.25">
      <c r="B29" s="1"/>
      <c r="C29" s="3"/>
      <c r="D29" s="2" t="s">
        <v>8</v>
      </c>
    </row>
    <row r="30" spans="2:4" x14ac:dyDescent="0.25">
      <c r="B30" s="1"/>
      <c r="C30" s="3"/>
      <c r="D30" s="2" t="s">
        <v>8</v>
      </c>
    </row>
    <row r="31" spans="2:4" x14ac:dyDescent="0.25">
      <c r="B31" s="1"/>
      <c r="C31" s="3"/>
      <c r="D31" s="2" t="s">
        <v>8</v>
      </c>
    </row>
  </sheetData>
  <mergeCells count="3">
    <mergeCell ref="C2:C3"/>
    <mergeCell ref="C13:D13"/>
    <mergeCell ref="C14:D14"/>
  </mergeCells>
  <dataValidations count="1">
    <dataValidation type="list" allowBlank="1" showInputMessage="1" showErrorMessage="1" sqref="D17:D31" xr:uid="{4B5B82D3-7563-4E1D-8AF9-6B575951ECA4}">
      <formula1>"-,pago"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33009-1809-4024-ADF2-7208E057D3BB}">
  <sheetPr>
    <tabColor theme="4"/>
  </sheetPr>
  <dimension ref="B2:D31"/>
  <sheetViews>
    <sheetView showGridLines="0" zoomScale="106" zoomScaleNormal="106" workbookViewId="0">
      <selection activeCell="F7" sqref="F7"/>
    </sheetView>
  </sheetViews>
  <sheetFormatPr defaultRowHeight="15" x14ac:dyDescent="0.25"/>
  <cols>
    <col min="2" max="2" width="17" customWidth="1"/>
    <col min="3" max="3" width="13.5703125" customWidth="1"/>
    <col min="4" max="4" width="16.85546875" customWidth="1"/>
  </cols>
  <sheetData>
    <row r="2" spans="2:4" x14ac:dyDescent="0.25">
      <c r="B2" s="4" t="s">
        <v>9</v>
      </c>
      <c r="C2" s="10">
        <f ca="1">TODAY()</f>
        <v>44789</v>
      </c>
      <c r="D2" s="6" t="s">
        <v>10</v>
      </c>
    </row>
    <row r="3" spans="2:4" ht="29.25" customHeight="1" x14ac:dyDescent="0.25">
      <c r="B3" s="5">
        <f>SUMIF(D16:D31,"pago",C16:C31)</f>
        <v>500</v>
      </c>
      <c r="C3" s="11"/>
      <c r="D3" s="7">
        <f>SUMIF(D16:D31,"&lt;&gt;pago",C16:C31)</f>
        <v>425</v>
      </c>
    </row>
    <row r="10" spans="2:4" ht="22.5" customHeight="1" x14ac:dyDescent="0.25"/>
    <row r="11" spans="2:4" ht="9.75" customHeight="1" x14ac:dyDescent="0.25"/>
    <row r="12" spans="2:4" ht="10.5" customHeight="1" x14ac:dyDescent="0.25"/>
    <row r="13" spans="2:4" ht="22.5" customHeight="1" x14ac:dyDescent="0.25">
      <c r="B13" s="9" t="s">
        <v>11</v>
      </c>
      <c r="C13" s="12">
        <v>1500</v>
      </c>
      <c r="D13" s="12"/>
    </row>
    <row r="14" spans="2:4" ht="22.5" customHeight="1" x14ac:dyDescent="0.25">
      <c r="B14" s="9" t="s">
        <v>12</v>
      </c>
      <c r="C14" s="13">
        <f>SUM(C17:C31)</f>
        <v>925</v>
      </c>
      <c r="D14" s="13"/>
    </row>
    <row r="15" spans="2:4" ht="60" customHeight="1" x14ac:dyDescent="0.25"/>
    <row r="16" spans="2:4" ht="29.25" customHeight="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 t="s">
        <v>3</v>
      </c>
      <c r="C17" s="3">
        <v>100</v>
      </c>
      <c r="D17" s="2" t="s">
        <v>9</v>
      </c>
    </row>
    <row r="18" spans="2:4" x14ac:dyDescent="0.25">
      <c r="B18" s="1" t="s">
        <v>4</v>
      </c>
      <c r="C18" s="3">
        <v>100</v>
      </c>
      <c r="D18" s="2" t="s">
        <v>9</v>
      </c>
    </row>
    <row r="19" spans="2:4" x14ac:dyDescent="0.25">
      <c r="B19" s="1" t="s">
        <v>5</v>
      </c>
      <c r="C19" s="3">
        <v>25</v>
      </c>
      <c r="D19" s="2" t="s">
        <v>8</v>
      </c>
    </row>
    <row r="20" spans="2:4" x14ac:dyDescent="0.25">
      <c r="B20" s="1" t="s">
        <v>6</v>
      </c>
      <c r="C20" s="3">
        <v>300</v>
      </c>
      <c r="D20" s="2" t="s">
        <v>9</v>
      </c>
    </row>
    <row r="21" spans="2:4" x14ac:dyDescent="0.25">
      <c r="B21" s="1" t="s">
        <v>7</v>
      </c>
      <c r="C21" s="3">
        <v>400</v>
      </c>
      <c r="D21" s="2" t="s">
        <v>8</v>
      </c>
    </row>
    <row r="22" spans="2:4" x14ac:dyDescent="0.25">
      <c r="B22" s="1"/>
      <c r="C22" s="3"/>
      <c r="D22" s="2" t="s">
        <v>8</v>
      </c>
    </row>
    <row r="23" spans="2:4" x14ac:dyDescent="0.25">
      <c r="B23" s="1"/>
      <c r="C23" s="3"/>
      <c r="D23" s="2" t="s">
        <v>8</v>
      </c>
    </row>
    <row r="24" spans="2:4" x14ac:dyDescent="0.25">
      <c r="B24" s="1"/>
      <c r="C24" s="3"/>
      <c r="D24" s="2" t="s">
        <v>8</v>
      </c>
    </row>
    <row r="25" spans="2:4" x14ac:dyDescent="0.25">
      <c r="B25" s="1"/>
      <c r="C25" s="3"/>
      <c r="D25" s="2" t="s">
        <v>8</v>
      </c>
    </row>
    <row r="26" spans="2:4" x14ac:dyDescent="0.25">
      <c r="B26" s="1"/>
      <c r="C26" s="3"/>
      <c r="D26" s="2" t="s">
        <v>8</v>
      </c>
    </row>
    <row r="27" spans="2:4" x14ac:dyDescent="0.25">
      <c r="B27" s="1"/>
      <c r="C27" s="3"/>
      <c r="D27" s="2" t="s">
        <v>8</v>
      </c>
    </row>
    <row r="28" spans="2:4" x14ac:dyDescent="0.25">
      <c r="B28" s="1"/>
      <c r="C28" s="3"/>
      <c r="D28" s="2" t="s">
        <v>8</v>
      </c>
    </row>
    <row r="29" spans="2:4" x14ac:dyDescent="0.25">
      <c r="B29" s="1"/>
      <c r="C29" s="3"/>
      <c r="D29" s="2" t="s">
        <v>8</v>
      </c>
    </row>
    <row r="30" spans="2:4" x14ac:dyDescent="0.25">
      <c r="B30" s="1"/>
      <c r="C30" s="3"/>
      <c r="D30" s="2" t="s">
        <v>8</v>
      </c>
    </row>
    <row r="31" spans="2:4" x14ac:dyDescent="0.25">
      <c r="B31" s="1"/>
      <c r="C31" s="3"/>
      <c r="D31" s="2" t="s">
        <v>8</v>
      </c>
    </row>
  </sheetData>
  <mergeCells count="3">
    <mergeCell ref="C2:C3"/>
    <mergeCell ref="C13:D13"/>
    <mergeCell ref="C14:D14"/>
  </mergeCells>
  <dataValidations count="1">
    <dataValidation type="list" allowBlank="1" showInputMessage="1" showErrorMessage="1" sqref="D17:D31" xr:uid="{26B35B55-5CD5-45CA-A1D5-98FC2DA9CB71}">
      <formula1>"-,pago"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ADA-C610-4D99-9EF9-B03F9656F83D}">
  <sheetPr>
    <tabColor theme="4"/>
  </sheetPr>
  <dimension ref="B2:D31"/>
  <sheetViews>
    <sheetView showGridLines="0" topLeftCell="A13" zoomScale="106" zoomScaleNormal="106" workbookViewId="0">
      <selection activeCell="F7" sqref="F7"/>
    </sheetView>
  </sheetViews>
  <sheetFormatPr defaultRowHeight="15" x14ac:dyDescent="0.25"/>
  <cols>
    <col min="2" max="2" width="17" customWidth="1"/>
    <col min="3" max="3" width="13.5703125" customWidth="1"/>
    <col min="4" max="4" width="16.85546875" customWidth="1"/>
  </cols>
  <sheetData>
    <row r="2" spans="2:4" x14ac:dyDescent="0.25">
      <c r="B2" s="4" t="s">
        <v>9</v>
      </c>
      <c r="C2" s="10">
        <f ca="1">TODAY()</f>
        <v>44789</v>
      </c>
      <c r="D2" s="6" t="s">
        <v>10</v>
      </c>
    </row>
    <row r="3" spans="2:4" ht="29.25" customHeight="1" x14ac:dyDescent="0.25">
      <c r="B3" s="5">
        <f>SUMIF(D16:D31,"pago",C16:C31)</f>
        <v>500</v>
      </c>
      <c r="C3" s="11"/>
      <c r="D3" s="7">
        <f>SUMIF(D16:D31,"&lt;&gt;pago",C16:C31)</f>
        <v>425</v>
      </c>
    </row>
    <row r="10" spans="2:4" ht="22.5" customHeight="1" x14ac:dyDescent="0.25"/>
    <row r="11" spans="2:4" ht="9.75" customHeight="1" x14ac:dyDescent="0.25"/>
    <row r="12" spans="2:4" ht="10.5" customHeight="1" x14ac:dyDescent="0.25"/>
    <row r="13" spans="2:4" ht="22.5" customHeight="1" x14ac:dyDescent="0.25">
      <c r="B13" s="9" t="s">
        <v>11</v>
      </c>
      <c r="C13" s="12">
        <v>1500</v>
      </c>
      <c r="D13" s="12"/>
    </row>
    <row r="14" spans="2:4" ht="22.5" customHeight="1" x14ac:dyDescent="0.25">
      <c r="B14" s="9" t="s">
        <v>12</v>
      </c>
      <c r="C14" s="13">
        <f>SUM(C17:C31)</f>
        <v>925</v>
      </c>
      <c r="D14" s="13"/>
    </row>
    <row r="15" spans="2:4" ht="60" customHeight="1" x14ac:dyDescent="0.25"/>
    <row r="16" spans="2:4" ht="29.25" customHeight="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 t="s">
        <v>3</v>
      </c>
      <c r="C17" s="3">
        <v>100</v>
      </c>
      <c r="D17" s="2" t="s">
        <v>9</v>
      </c>
    </row>
    <row r="18" spans="2:4" x14ac:dyDescent="0.25">
      <c r="B18" s="1" t="s">
        <v>4</v>
      </c>
      <c r="C18" s="3">
        <v>100</v>
      </c>
      <c r="D18" s="2" t="s">
        <v>9</v>
      </c>
    </row>
    <row r="19" spans="2:4" x14ac:dyDescent="0.25">
      <c r="B19" s="1" t="s">
        <v>5</v>
      </c>
      <c r="C19" s="3">
        <v>25</v>
      </c>
      <c r="D19" s="2" t="s">
        <v>8</v>
      </c>
    </row>
    <row r="20" spans="2:4" x14ac:dyDescent="0.25">
      <c r="B20" s="1" t="s">
        <v>6</v>
      </c>
      <c r="C20" s="3">
        <v>300</v>
      </c>
      <c r="D20" s="2" t="s">
        <v>9</v>
      </c>
    </row>
    <row r="21" spans="2:4" x14ac:dyDescent="0.25">
      <c r="B21" s="1" t="s">
        <v>7</v>
      </c>
      <c r="C21" s="3">
        <v>400</v>
      </c>
      <c r="D21" s="2" t="s">
        <v>8</v>
      </c>
    </row>
    <row r="22" spans="2:4" x14ac:dyDescent="0.25">
      <c r="B22" s="1"/>
      <c r="C22" s="3"/>
      <c r="D22" s="2" t="s">
        <v>8</v>
      </c>
    </row>
    <row r="23" spans="2:4" x14ac:dyDescent="0.25">
      <c r="B23" s="1"/>
      <c r="C23" s="3"/>
      <c r="D23" s="2" t="s">
        <v>8</v>
      </c>
    </row>
    <row r="24" spans="2:4" x14ac:dyDescent="0.25">
      <c r="B24" s="1"/>
      <c r="C24" s="3"/>
      <c r="D24" s="2" t="s">
        <v>8</v>
      </c>
    </row>
    <row r="25" spans="2:4" x14ac:dyDescent="0.25">
      <c r="B25" s="1"/>
      <c r="C25" s="3"/>
      <c r="D25" s="2" t="s">
        <v>8</v>
      </c>
    </row>
    <row r="26" spans="2:4" x14ac:dyDescent="0.25">
      <c r="B26" s="1"/>
      <c r="C26" s="3"/>
      <c r="D26" s="2" t="s">
        <v>8</v>
      </c>
    </row>
    <row r="27" spans="2:4" x14ac:dyDescent="0.25">
      <c r="B27" s="1"/>
      <c r="C27" s="3"/>
      <c r="D27" s="2" t="s">
        <v>8</v>
      </c>
    </row>
    <row r="28" spans="2:4" x14ac:dyDescent="0.25">
      <c r="B28" s="1"/>
      <c r="C28" s="3"/>
      <c r="D28" s="2" t="s">
        <v>8</v>
      </c>
    </row>
    <row r="29" spans="2:4" x14ac:dyDescent="0.25">
      <c r="B29" s="1"/>
      <c r="C29" s="3"/>
      <c r="D29" s="2" t="s">
        <v>8</v>
      </c>
    </row>
    <row r="30" spans="2:4" x14ac:dyDescent="0.25">
      <c r="B30" s="1"/>
      <c r="C30" s="3"/>
      <c r="D30" s="2" t="s">
        <v>8</v>
      </c>
    </row>
    <row r="31" spans="2:4" x14ac:dyDescent="0.25">
      <c r="B31" s="1"/>
      <c r="C31" s="3"/>
      <c r="D31" s="2" t="s">
        <v>8</v>
      </c>
    </row>
  </sheetData>
  <mergeCells count="3">
    <mergeCell ref="C2:C3"/>
    <mergeCell ref="C13:D13"/>
    <mergeCell ref="C14:D14"/>
  </mergeCells>
  <dataValidations count="1">
    <dataValidation type="list" allowBlank="1" showInputMessage="1" showErrorMessage="1" sqref="D17:D31" xr:uid="{1AE64981-DC7A-4992-BF40-58E3932B7B1E}">
      <formula1>"-,pago"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5F16C-ED12-4D7E-BCEE-DE4BCF672179}">
  <sheetPr>
    <tabColor theme="4"/>
  </sheetPr>
  <dimension ref="B2:D31"/>
  <sheetViews>
    <sheetView showGridLines="0" zoomScale="106" zoomScaleNormal="106" workbookViewId="0">
      <selection activeCell="F7" sqref="F7"/>
    </sheetView>
  </sheetViews>
  <sheetFormatPr defaultRowHeight="15" x14ac:dyDescent="0.25"/>
  <cols>
    <col min="2" max="2" width="17" customWidth="1"/>
    <col min="3" max="3" width="13.5703125" customWidth="1"/>
    <col min="4" max="4" width="16.85546875" customWidth="1"/>
  </cols>
  <sheetData>
    <row r="2" spans="2:4" x14ac:dyDescent="0.25">
      <c r="B2" s="4" t="s">
        <v>9</v>
      </c>
      <c r="C2" s="10">
        <f ca="1">TODAY()</f>
        <v>44789</v>
      </c>
      <c r="D2" s="6" t="s">
        <v>10</v>
      </c>
    </row>
    <row r="3" spans="2:4" ht="29.25" customHeight="1" x14ac:dyDescent="0.25">
      <c r="B3" s="5">
        <f>SUMIF(D16:D31,"pago",C16:C31)</f>
        <v>500</v>
      </c>
      <c r="C3" s="11"/>
      <c r="D3" s="7">
        <f>SUMIF(D16:D31,"&lt;&gt;pago",C16:C31)</f>
        <v>425</v>
      </c>
    </row>
    <row r="10" spans="2:4" ht="22.5" customHeight="1" x14ac:dyDescent="0.25"/>
    <row r="11" spans="2:4" ht="9.75" customHeight="1" x14ac:dyDescent="0.25"/>
    <row r="12" spans="2:4" ht="10.5" customHeight="1" x14ac:dyDescent="0.25"/>
    <row r="13" spans="2:4" ht="22.5" customHeight="1" x14ac:dyDescent="0.25">
      <c r="B13" s="9" t="s">
        <v>11</v>
      </c>
      <c r="C13" s="12">
        <v>1500</v>
      </c>
      <c r="D13" s="12"/>
    </row>
    <row r="14" spans="2:4" ht="22.5" customHeight="1" x14ac:dyDescent="0.25">
      <c r="B14" s="9" t="s">
        <v>12</v>
      </c>
      <c r="C14" s="13">
        <f>SUM(C17:C31)</f>
        <v>925</v>
      </c>
      <c r="D14" s="13"/>
    </row>
    <row r="15" spans="2:4" ht="60" customHeight="1" x14ac:dyDescent="0.25"/>
    <row r="16" spans="2:4" ht="29.25" customHeight="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 t="s">
        <v>3</v>
      </c>
      <c r="C17" s="3">
        <v>100</v>
      </c>
      <c r="D17" s="2" t="s">
        <v>9</v>
      </c>
    </row>
    <row r="18" spans="2:4" x14ac:dyDescent="0.25">
      <c r="B18" s="1" t="s">
        <v>4</v>
      </c>
      <c r="C18" s="3">
        <v>100</v>
      </c>
      <c r="D18" s="2" t="s">
        <v>9</v>
      </c>
    </row>
    <row r="19" spans="2:4" x14ac:dyDescent="0.25">
      <c r="B19" s="1" t="s">
        <v>5</v>
      </c>
      <c r="C19" s="3">
        <v>25</v>
      </c>
      <c r="D19" s="2" t="s">
        <v>8</v>
      </c>
    </row>
    <row r="20" spans="2:4" x14ac:dyDescent="0.25">
      <c r="B20" s="1" t="s">
        <v>6</v>
      </c>
      <c r="C20" s="3">
        <v>300</v>
      </c>
      <c r="D20" s="2" t="s">
        <v>9</v>
      </c>
    </row>
    <row r="21" spans="2:4" x14ac:dyDescent="0.25">
      <c r="B21" s="1" t="s">
        <v>7</v>
      </c>
      <c r="C21" s="3">
        <v>400</v>
      </c>
      <c r="D21" s="2" t="s">
        <v>8</v>
      </c>
    </row>
    <row r="22" spans="2:4" x14ac:dyDescent="0.25">
      <c r="B22" s="1"/>
      <c r="C22" s="3"/>
      <c r="D22" s="2" t="s">
        <v>8</v>
      </c>
    </row>
    <row r="23" spans="2:4" x14ac:dyDescent="0.25">
      <c r="B23" s="1"/>
      <c r="C23" s="3"/>
      <c r="D23" s="2" t="s">
        <v>8</v>
      </c>
    </row>
    <row r="24" spans="2:4" x14ac:dyDescent="0.25">
      <c r="B24" s="1"/>
      <c r="C24" s="3"/>
      <c r="D24" s="2" t="s">
        <v>8</v>
      </c>
    </row>
    <row r="25" spans="2:4" x14ac:dyDescent="0.25">
      <c r="B25" s="1"/>
      <c r="C25" s="3"/>
      <c r="D25" s="2" t="s">
        <v>8</v>
      </c>
    </row>
    <row r="26" spans="2:4" x14ac:dyDescent="0.25">
      <c r="B26" s="1"/>
      <c r="C26" s="3"/>
      <c r="D26" s="2" t="s">
        <v>8</v>
      </c>
    </row>
    <row r="27" spans="2:4" x14ac:dyDescent="0.25">
      <c r="B27" s="1"/>
      <c r="C27" s="3"/>
      <c r="D27" s="2" t="s">
        <v>8</v>
      </c>
    </row>
    <row r="28" spans="2:4" x14ac:dyDescent="0.25">
      <c r="B28" s="1"/>
      <c r="C28" s="3"/>
      <c r="D28" s="2" t="s">
        <v>8</v>
      </c>
    </row>
    <row r="29" spans="2:4" x14ac:dyDescent="0.25">
      <c r="B29" s="1"/>
      <c r="C29" s="3"/>
      <c r="D29" s="2" t="s">
        <v>8</v>
      </c>
    </row>
    <row r="30" spans="2:4" x14ac:dyDescent="0.25">
      <c r="B30" s="1"/>
      <c r="C30" s="3"/>
      <c r="D30" s="2" t="s">
        <v>8</v>
      </c>
    </row>
    <row r="31" spans="2:4" x14ac:dyDescent="0.25">
      <c r="B31" s="1"/>
      <c r="C31" s="3"/>
      <c r="D31" s="2" t="s">
        <v>8</v>
      </c>
    </row>
  </sheetData>
  <mergeCells count="3">
    <mergeCell ref="C2:C3"/>
    <mergeCell ref="C13:D13"/>
    <mergeCell ref="C14:D14"/>
  </mergeCells>
  <dataValidations count="1">
    <dataValidation type="list" allowBlank="1" showInputMessage="1" showErrorMessage="1" sqref="D17:D31" xr:uid="{1D1B5A7D-2E20-4ADE-A32F-AAC48E2B959F}">
      <formula1>"-,pago"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04F25-2C71-4BF4-89C1-AC47D82F71DE}">
  <sheetPr>
    <tabColor theme="4"/>
  </sheetPr>
  <dimension ref="B2:D31"/>
  <sheetViews>
    <sheetView showGridLines="0" tabSelected="1" zoomScale="106" zoomScaleNormal="106" workbookViewId="0">
      <selection activeCell="F7" sqref="F7"/>
    </sheetView>
  </sheetViews>
  <sheetFormatPr defaultRowHeight="15" x14ac:dyDescent="0.25"/>
  <cols>
    <col min="2" max="2" width="17" customWidth="1"/>
    <col min="3" max="3" width="13.5703125" customWidth="1"/>
    <col min="4" max="4" width="16.85546875" customWidth="1"/>
  </cols>
  <sheetData>
    <row r="2" spans="2:4" x14ac:dyDescent="0.25">
      <c r="B2" s="4" t="s">
        <v>9</v>
      </c>
      <c r="C2" s="10">
        <f ca="1">TODAY()</f>
        <v>44789</v>
      </c>
      <c r="D2" s="6" t="s">
        <v>10</v>
      </c>
    </row>
    <row r="3" spans="2:4" ht="29.25" customHeight="1" x14ac:dyDescent="0.25">
      <c r="B3" s="5">
        <f>SUMIF(D16:D31,"pago",C16:C31)</f>
        <v>500</v>
      </c>
      <c r="C3" s="11"/>
      <c r="D3" s="7">
        <f>SUMIF(D16:D31,"&lt;&gt;pago",C16:C31)</f>
        <v>425</v>
      </c>
    </row>
    <row r="10" spans="2:4" ht="22.5" customHeight="1" x14ac:dyDescent="0.25"/>
    <row r="11" spans="2:4" ht="9.75" customHeight="1" x14ac:dyDescent="0.25"/>
    <row r="12" spans="2:4" ht="10.5" customHeight="1" x14ac:dyDescent="0.25"/>
    <row r="13" spans="2:4" ht="22.5" customHeight="1" x14ac:dyDescent="0.25">
      <c r="B13" s="9" t="s">
        <v>11</v>
      </c>
      <c r="C13" s="12">
        <v>1500</v>
      </c>
      <c r="D13" s="12"/>
    </row>
    <row r="14" spans="2:4" ht="22.5" customHeight="1" x14ac:dyDescent="0.25">
      <c r="B14" s="9" t="s">
        <v>12</v>
      </c>
      <c r="C14" s="13">
        <f>SUM(C17:C31)</f>
        <v>925</v>
      </c>
      <c r="D14" s="13"/>
    </row>
    <row r="15" spans="2:4" ht="60" customHeight="1" x14ac:dyDescent="0.25"/>
    <row r="16" spans="2:4" ht="29.25" customHeight="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 t="s">
        <v>3</v>
      </c>
      <c r="C17" s="3">
        <v>100</v>
      </c>
      <c r="D17" s="2" t="s">
        <v>9</v>
      </c>
    </row>
    <row r="18" spans="2:4" x14ac:dyDescent="0.25">
      <c r="B18" s="1" t="s">
        <v>4</v>
      </c>
      <c r="C18" s="3">
        <v>100</v>
      </c>
      <c r="D18" s="2" t="s">
        <v>9</v>
      </c>
    </row>
    <row r="19" spans="2:4" x14ac:dyDescent="0.25">
      <c r="B19" s="1" t="s">
        <v>5</v>
      </c>
      <c r="C19" s="3">
        <v>25</v>
      </c>
      <c r="D19" s="2" t="s">
        <v>8</v>
      </c>
    </row>
    <row r="20" spans="2:4" x14ac:dyDescent="0.25">
      <c r="B20" s="1" t="s">
        <v>6</v>
      </c>
      <c r="C20" s="3">
        <v>300</v>
      </c>
      <c r="D20" s="2" t="s">
        <v>9</v>
      </c>
    </row>
    <row r="21" spans="2:4" x14ac:dyDescent="0.25">
      <c r="B21" s="1" t="s">
        <v>7</v>
      </c>
      <c r="C21" s="3">
        <v>400</v>
      </c>
      <c r="D21" s="2" t="s">
        <v>8</v>
      </c>
    </row>
    <row r="22" spans="2:4" x14ac:dyDescent="0.25">
      <c r="B22" s="1"/>
      <c r="C22" s="3"/>
      <c r="D22" s="2" t="s">
        <v>8</v>
      </c>
    </row>
    <row r="23" spans="2:4" x14ac:dyDescent="0.25">
      <c r="B23" s="1"/>
      <c r="C23" s="3"/>
      <c r="D23" s="2" t="s">
        <v>8</v>
      </c>
    </row>
    <row r="24" spans="2:4" x14ac:dyDescent="0.25">
      <c r="B24" s="1"/>
      <c r="C24" s="3"/>
      <c r="D24" s="2" t="s">
        <v>8</v>
      </c>
    </row>
    <row r="25" spans="2:4" x14ac:dyDescent="0.25">
      <c r="B25" s="1"/>
      <c r="C25" s="3"/>
      <c r="D25" s="2" t="s">
        <v>8</v>
      </c>
    </row>
    <row r="26" spans="2:4" x14ac:dyDescent="0.25">
      <c r="B26" s="1"/>
      <c r="C26" s="3"/>
      <c r="D26" s="2" t="s">
        <v>8</v>
      </c>
    </row>
    <row r="27" spans="2:4" x14ac:dyDescent="0.25">
      <c r="B27" s="1"/>
      <c r="C27" s="3"/>
      <c r="D27" s="2" t="s">
        <v>8</v>
      </c>
    </row>
    <row r="28" spans="2:4" x14ac:dyDescent="0.25">
      <c r="B28" s="1"/>
      <c r="C28" s="3"/>
      <c r="D28" s="2" t="s">
        <v>8</v>
      </c>
    </row>
    <row r="29" spans="2:4" x14ac:dyDescent="0.25">
      <c r="B29" s="1"/>
      <c r="C29" s="3"/>
      <c r="D29" s="2" t="s">
        <v>8</v>
      </c>
    </row>
    <row r="30" spans="2:4" x14ac:dyDescent="0.25">
      <c r="B30" s="1"/>
      <c r="C30" s="3"/>
      <c r="D30" s="2" t="s">
        <v>8</v>
      </c>
    </row>
    <row r="31" spans="2:4" x14ac:dyDescent="0.25">
      <c r="B31" s="1"/>
      <c r="C31" s="3"/>
      <c r="D31" s="2" t="s">
        <v>8</v>
      </c>
    </row>
  </sheetData>
  <mergeCells count="3">
    <mergeCell ref="C2:C3"/>
    <mergeCell ref="C13:D13"/>
    <mergeCell ref="C14:D14"/>
  </mergeCells>
  <dataValidations count="1">
    <dataValidation type="list" allowBlank="1" showInputMessage="1" showErrorMessage="1" sqref="D17:D31" xr:uid="{2D4B406A-FC81-4830-B43B-3B7DE2CC326D}">
      <formula1>"-,pago"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Talyson</dc:creator>
  <cp:lastModifiedBy>Talyson</cp:lastModifiedBy>
  <dcterms:created xsi:type="dcterms:W3CDTF">2014-12-15T22:28:23Z</dcterms:created>
  <dcterms:modified xsi:type="dcterms:W3CDTF">2022-08-16T20:32:45Z</dcterms:modified>
</cp:coreProperties>
</file>